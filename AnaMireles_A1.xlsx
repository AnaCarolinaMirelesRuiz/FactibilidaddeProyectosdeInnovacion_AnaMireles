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https://d.docs.live.net/8789d3c8822df101/Documentos/EscuelaIDS/9 periodo/FPI/"/>
    </mc:Choice>
  </mc:AlternateContent>
  <xr:revisionPtr revIDLastSave="0" documentId="8_{A1CF3A2E-B878-4D9A-A08C-EC25BD2B3C59}" xr6:coauthVersionLast="47" xr6:coauthVersionMax="47" xr10:uidLastSave="{00000000-0000-0000-0000-000000000000}"/>
  <bookViews>
    <workbookView xWindow="-108" yWindow="-108" windowWidth="23256" windowHeight="12456" firstSheet="3" activeTab="7" xr2:uid="{00000000-000D-0000-FFFF-FFFF00000000}"/>
  </bookViews>
  <sheets>
    <sheet name="Portada" sheetId="8" r:id="rId1"/>
    <sheet name="Introducción" sheetId="7" r:id="rId2"/>
    <sheet name="Periodo de recuperación" sheetId="3" r:id="rId3"/>
    <sheet name="PFSA" sheetId="4" r:id="rId4"/>
    <sheet name="Factor de ajuste (PFA)" sheetId="5" r:id="rId5"/>
    <sheet name="Estimación de Esfuerzo" sheetId="10" r:id="rId6"/>
    <sheet name="Presupuesto" sheetId="12" r:id="rId7"/>
    <sheet name="Conclusión" sheetId="11" r:id="rId8"/>
  </sheets>
  <definedNames>
    <definedName name="Alta" localSheetId="5">#REF!</definedName>
    <definedName name="Alta" localSheetId="4">#REF!</definedName>
    <definedName name="Alta" localSheetId="6">#REF!</definedName>
    <definedName name="Alta">Tabla3518[Alta]</definedName>
    <definedName name="Alta2" localSheetId="6">Tabla3518[Alta]</definedName>
    <definedName name="Alta2">Tabla3518[Alta]</definedName>
    <definedName name="Baja" localSheetId="5">#REF!</definedName>
    <definedName name="Baja" localSheetId="4">#REF!</definedName>
    <definedName name="Baja" localSheetId="6">#REF!</definedName>
    <definedName name="Baja">Tabla3518[Baja]</definedName>
    <definedName name="EI" localSheetId="5">'Estimación de Esfuerzo'!#REF!</definedName>
    <definedName name="EI" localSheetId="4">'Factor de ajuste (PFA)'!#REF!</definedName>
    <definedName name="EI" localSheetId="6">Presupuesto!#REF!</definedName>
    <definedName name="EI">PFSA!$B$25</definedName>
    <definedName name="EIF" localSheetId="5">'Estimación de Esfuerzo'!#REF!</definedName>
    <definedName name="EIF" localSheetId="4">'Factor de ajuste (PFA)'!#REF!</definedName>
    <definedName name="EIF" localSheetId="6">Presupuesto!#REF!</definedName>
    <definedName name="EIF">PFSA!$B$29</definedName>
    <definedName name="EO" localSheetId="5">'Estimación de Esfuerzo'!#REF!</definedName>
    <definedName name="EO" localSheetId="4">'Factor de ajuste (PFA)'!#REF!</definedName>
    <definedName name="EO" localSheetId="6">Presupuesto!#REF!</definedName>
    <definedName name="EO">PFSA!$B$26</definedName>
    <definedName name="EQ" localSheetId="5">'Estimación de Esfuerzo'!#REF!</definedName>
    <definedName name="EQ" localSheetId="4">'Factor de ajuste (PFA)'!#REF!</definedName>
    <definedName name="EQ" localSheetId="6">Presupuesto!#REF!</definedName>
    <definedName name="EQ">PFSA!$B$27</definedName>
    <definedName name="ILF" localSheetId="5">'Estimación de Esfuerzo'!#REF!</definedName>
    <definedName name="ILF" localSheetId="4">'Factor de ajuste (PFA)'!#REF!</definedName>
    <definedName name="ILF" localSheetId="6">Presupuesto!#REF!</definedName>
    <definedName name="ILF">PFSA!$B$28</definedName>
    <definedName name="IMPACTO" localSheetId="5">#REF!</definedName>
    <definedName name="IMPACTO" localSheetId="6">#REF!</definedName>
    <definedName name="IMPACTO">Tabla11102128[[#All],[Columna2]]</definedName>
    <definedName name="Media" localSheetId="5">#REF!</definedName>
    <definedName name="Media" localSheetId="4">#REF!</definedName>
    <definedName name="Media" localSheetId="6">#REF!</definedName>
    <definedName name="Media">Tabla3518[Media]</definedName>
    <definedName name="Valoresimpacto" localSheetId="5">#REF!</definedName>
    <definedName name="Valoresimpacto" localSheetId="6">#REF!</definedName>
    <definedName name="Valoresimpacto">Tabla11102128[[#All],[Columna1]]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0" l="1"/>
  <c r="D21" i="3"/>
  <c r="F21" i="3" s="1"/>
  <c r="B23" i="3"/>
  <c r="F11" i="3"/>
  <c r="F12" i="3"/>
  <c r="F13" i="3"/>
  <c r="F14" i="3"/>
  <c r="F15" i="3"/>
  <c r="F16" i="3"/>
  <c r="F17" i="3"/>
  <c r="F18" i="3"/>
  <c r="F19" i="3"/>
  <c r="F20" i="3"/>
  <c r="D20" i="3"/>
  <c r="D19" i="3"/>
  <c r="D18" i="3"/>
  <c r="E11" i="3"/>
  <c r="E12" i="3" s="1"/>
  <c r="E13" i="3" s="1"/>
  <c r="E14" i="3" s="1"/>
  <c r="E15" i="3" s="1"/>
  <c r="E16" i="3" s="1"/>
  <c r="E17" i="3" s="1"/>
  <c r="D22" i="3"/>
  <c r="D25" i="3"/>
  <c r="D25" i="5"/>
  <c r="D26" i="3"/>
  <c r="D24" i="3"/>
  <c r="D10" i="12"/>
  <c r="D22" i="10"/>
  <c r="D16" i="10"/>
  <c r="D18" i="10"/>
  <c r="D11" i="12"/>
  <c r="D24" i="10"/>
  <c r="D20" i="10"/>
  <c r="D14" i="10"/>
  <c r="B29" i="3" l="1"/>
  <c r="E18" i="3"/>
  <c r="E19" i="3" s="1"/>
  <c r="E20" i="3" s="1"/>
  <c r="E21" i="3" s="1"/>
  <c r="D18" i="5"/>
  <c r="C23" i="5" s="1"/>
  <c r="C5" i="12" l="1"/>
  <c r="B11" i="3"/>
  <c r="B12" i="3" s="1"/>
  <c r="B13" i="3" s="1"/>
  <c r="B14" i="3" s="1"/>
  <c r="B15" i="3" s="1"/>
  <c r="B16" i="3" s="1"/>
  <c r="B17" i="3" s="1"/>
  <c r="B18" i="3" s="1"/>
  <c r="F12" i="4" l="1"/>
  <c r="F16" i="4"/>
  <c r="F20" i="4"/>
  <c r="F17" i="4"/>
  <c r="F11" i="4"/>
  <c r="F15" i="4"/>
  <c r="F19" i="4"/>
  <c r="F13" i="4"/>
  <c r="F10" i="4"/>
  <c r="F14" i="4"/>
  <c r="F18" i="4"/>
  <c r="B19" i="3"/>
  <c r="B20" i="3" l="1"/>
  <c r="B24" i="3"/>
  <c r="F9" i="4"/>
  <c r="B21" i="3" l="1"/>
  <c r="F8" i="4"/>
  <c r="F7" i="4"/>
  <c r="B25" i="3"/>
  <c r="F21" i="4" l="1"/>
  <c r="B26" i="3"/>
  <c r="B27" i="3" s="1"/>
  <c r="C22" i="5" l="1"/>
  <c r="C25" i="5" s="1"/>
  <c r="C14" i="10" s="1"/>
  <c r="C18" i="10" l="1"/>
  <c r="C20" i="10" s="1"/>
  <c r="C22" i="10" s="1"/>
  <c r="C24" i="10"/>
  <c r="C26" i="10" s="1"/>
  <c r="C6" i="12" s="1"/>
  <c r="C10" i="12" s="1"/>
  <c r="C1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 2020</author>
  </authors>
  <commentList>
    <comment ref="B6" authorId="0" shapeId="0" xr:uid="{6B236173-0718-4B18-A368-08277719C393}">
      <text>
        <r>
          <rPr>
            <sz val="9"/>
            <color indexed="81"/>
            <rFont val="Tahoma"/>
            <family val="2"/>
          </rPr>
          <t xml:space="preserve">Escriba aquí su introducción
</t>
        </r>
      </text>
    </comment>
  </commentList>
</comments>
</file>

<file path=xl/sharedStrings.xml><?xml version="1.0" encoding="utf-8"?>
<sst xmlns="http://schemas.openxmlformats.org/spreadsheetml/2006/main" count="158" uniqueCount="120">
  <si>
    <t>Año</t>
  </si>
  <si>
    <t>Flujo de efectivo</t>
  </si>
  <si>
    <t>Inversión Inicial</t>
  </si>
  <si>
    <t>Pronóstico</t>
  </si>
  <si>
    <t>Flujo Acumulado</t>
  </si>
  <si>
    <t>Solución</t>
  </si>
  <si>
    <t>Años en recuperar la inversión</t>
  </si>
  <si>
    <t>Años</t>
  </si>
  <si>
    <t>Meses</t>
  </si>
  <si>
    <t>Días</t>
  </si>
  <si>
    <t>ROI</t>
  </si>
  <si>
    <t>Recuperación</t>
  </si>
  <si>
    <t>Retorno sobre la inversión</t>
  </si>
  <si>
    <t>Estimación de Puntos de Función</t>
  </si>
  <si>
    <t>Tipo/Complejidad</t>
  </si>
  <si>
    <t>Baja</t>
  </si>
  <si>
    <t>Media</t>
  </si>
  <si>
    <t>Alta</t>
  </si>
  <si>
    <t>(EI) Entrada Externa</t>
  </si>
  <si>
    <t>(EO) Salida Externa</t>
  </si>
  <si>
    <t>(EQ) Consulta Externa</t>
  </si>
  <si>
    <t>(ILF) Archivo Lógico Interno</t>
  </si>
  <si>
    <t>(EIF) Archivo de interfaz externo</t>
  </si>
  <si>
    <t>Tipo</t>
  </si>
  <si>
    <t>Cantidad</t>
  </si>
  <si>
    <t>Valor</t>
  </si>
  <si>
    <t>Puntos de Función sin Ajustar (PFSA)</t>
  </si>
  <si>
    <t>Factor de Ajuste</t>
  </si>
  <si>
    <t>Comunicación de datos</t>
  </si>
  <si>
    <t>Procesamiento de datos distribuido</t>
  </si>
  <si>
    <t>Desempeño</t>
  </si>
  <si>
    <t>Configuración</t>
  </si>
  <si>
    <t>Tasa de transaccciones</t>
  </si>
  <si>
    <t>Entrada de datos en línea</t>
  </si>
  <si>
    <t>Eficiencia del usuario final</t>
  </si>
  <si>
    <t>Actualización en línea</t>
  </si>
  <si>
    <t>Procesamiento complejo</t>
  </si>
  <si>
    <t>Reusabilidad</t>
  </si>
  <si>
    <t>Facilidad de la instalación</t>
  </si>
  <si>
    <t>Facilidad de la operación</t>
  </si>
  <si>
    <t>Sitios múltiples</t>
  </si>
  <si>
    <t>Facilidad de cambios</t>
  </si>
  <si>
    <t>No existe</t>
  </si>
  <si>
    <t>Mínimo impacto</t>
  </si>
  <si>
    <t>Impacto Promedio</t>
  </si>
  <si>
    <t>Impacto Superior al promedio</t>
  </si>
  <si>
    <t>Impacto Alto</t>
  </si>
  <si>
    <t>Impacto Fuerte</t>
  </si>
  <si>
    <t>PFA=PFSA * [0.065+ (0,01) * Factor de Ajuste)</t>
  </si>
  <si>
    <t>Donde:</t>
  </si>
  <si>
    <t>PFSA: Puntos de Función sin ajustar</t>
  </si>
  <si>
    <t>PFA: Puntos de función ajustado</t>
  </si>
  <si>
    <t>PFA= 75 * [ 0.65+ (0.01*32)]</t>
  </si>
  <si>
    <t>PFA</t>
  </si>
  <si>
    <t>Estimación de esfuerzo</t>
  </si>
  <si>
    <t>Lenguaje</t>
  </si>
  <si>
    <t>Horas PF promedio</t>
  </si>
  <si>
    <t>Línea de código</t>
  </si>
  <si>
    <t>Lenguaje 4ta Generación</t>
  </si>
  <si>
    <t>Horas /Hombre=PFA*horas PF Promedio</t>
  </si>
  <si>
    <t>Costo= (Desarrolladores * Duración meses * sueldos) + Otros costos</t>
  </si>
  <si>
    <t>No. Año</t>
  </si>
  <si>
    <t>Año inicio</t>
  </si>
  <si>
    <t>Tabla IFPUG</t>
  </si>
  <si>
    <t>Aplicación para:</t>
  </si>
  <si>
    <t>Nivel de complejidad</t>
  </si>
  <si>
    <t>Descripción</t>
  </si>
  <si>
    <t>Periodo de Recuperación de la inversión</t>
  </si>
  <si>
    <t>Puntaje asignado</t>
  </si>
  <si>
    <t>TABLA DE IMPACTO</t>
  </si>
  <si>
    <t>Impacto</t>
  </si>
  <si>
    <t>Fórmula</t>
  </si>
  <si>
    <t>PFA=</t>
  </si>
  <si>
    <t>//La IFPUG Genera una tabla por puntos de función /Hora acorde a lenguajes</t>
  </si>
  <si>
    <t>Horas/Hombres</t>
  </si>
  <si>
    <t>Elija Lenguaje de programación</t>
  </si>
  <si>
    <t>Número de programadores</t>
  </si>
  <si>
    <t>Horas de trabajo por día</t>
  </si>
  <si>
    <t>Días de trabajo en el mes</t>
  </si>
  <si>
    <t>Meses de trabajo</t>
  </si>
  <si>
    <t>//Número de meses requeridos para finalizar el trabajo acorde con 1 programador</t>
  </si>
  <si>
    <t>//Aquí se toma en cuenta las horas de trabajo de cada programador por día</t>
  </si>
  <si>
    <t>Días de trabajo por programador</t>
  </si>
  <si>
    <t>Horas de trabajo mensuales por programador</t>
  </si>
  <si>
    <t>Días de trabajo con todo el equipo</t>
  </si>
  <si>
    <t>//Número de días requeridos para finalizar el trabajo con todo el equipo</t>
  </si>
  <si>
    <t>//Meses de trabajo para finalizar el proyecto con todo el equipo de trabajo</t>
  </si>
  <si>
    <t>Presupuesto</t>
  </si>
  <si>
    <t>Duración meses del proyecto</t>
  </si>
  <si>
    <t>Sueldo del programador</t>
  </si>
  <si>
    <t>Duración en meses del proyecto</t>
  </si>
  <si>
    <t>Costo total del Software (desarrollo+Otros costos)</t>
  </si>
  <si>
    <t>Costo de desarrollo</t>
  </si>
  <si>
    <t>Otros costos o costos extras</t>
  </si>
  <si>
    <t xml:space="preserve">TecnoStudio </t>
  </si>
  <si>
    <t>La empresa TecnoStudio fue constituida en el año 2016 con una inversión de $700,000 a continuación se presenta la siguiente tabla de flujos de efectivo que han tenido durante estos años.</t>
  </si>
  <si>
    <t>Registro de docentes y administrativos</t>
  </si>
  <si>
    <t>Registro de materias</t>
  </si>
  <si>
    <t>Eliminar datos</t>
  </si>
  <si>
    <t>Listado de datos</t>
  </si>
  <si>
    <t>Requisitos</t>
  </si>
  <si>
    <t>Registro de alumnos</t>
  </si>
  <si>
    <t>Actualización de datos</t>
  </si>
  <si>
    <t>Reporte de alumnos, docentes, materia</t>
  </si>
  <si>
    <t>Tablas de datos: 1 por cada elemento (6 tablas)</t>
  </si>
  <si>
    <t>Reporte de alumnnos incritos</t>
  </si>
  <si>
    <t>Reporte de calificaciones</t>
  </si>
  <si>
    <t>Buscar datos</t>
  </si>
  <si>
    <t xml:space="preserve">Reporte de materias activas </t>
  </si>
  <si>
    <t xml:space="preserve">Total </t>
  </si>
  <si>
    <t xml:space="preserve"> Meses de trabajo con 4 programadores</t>
  </si>
  <si>
    <t>PORTADA</t>
  </si>
  <si>
    <t>INTRODUCCIÓN GENERAL</t>
  </si>
  <si>
    <r>
      <rPr>
        <b/>
        <sz val="10"/>
        <color theme="1"/>
        <rFont val="Century Gothic"/>
        <family val="2"/>
      </rPr>
      <t xml:space="preserve">Instrucciones: </t>
    </r>
    <r>
      <rPr>
        <sz val="10"/>
        <color theme="1"/>
        <rFont val="Century Gothic"/>
        <family val="2"/>
      </rPr>
      <t xml:space="preserve">Redactar una introducción de </t>
    </r>
    <r>
      <rPr>
        <b/>
        <sz val="10"/>
        <color theme="1"/>
        <rFont val="Century Gothic"/>
        <family val="2"/>
      </rPr>
      <t xml:space="preserve">mínimo 150 palabras </t>
    </r>
    <r>
      <rPr>
        <sz val="10"/>
        <color theme="1"/>
        <rFont val="Century Gothic"/>
        <family val="2"/>
      </rPr>
      <t>referente a la información que presentarás. Puedes agregar conceptos, expectativas del trabajo o una opinión personal previa a la realización del trabajo.</t>
    </r>
  </si>
  <si>
    <t>Ensamblador</t>
  </si>
  <si>
    <t>C++</t>
  </si>
  <si>
    <t>Redactar una conclusión sobre la importancia de lo realizado en la actividad dentro de su campo laboral o vida cotidiana (150 a 250 palabras)</t>
  </si>
  <si>
    <t>Colegio</t>
  </si>
  <si>
    <t>En esta actividad 1 de Factibilidad de Proyectos de Innovación, estaremos realizando lo que es el periodo de recuperación y modelo de estimación de puntos. Estos nos ayudan a realizar lo que viene siendo el cálculo del aproximado de tiempo que tomaría recuperar la inversión del proyecto, como también, se revisara los diferentes puntos para llegar a lo que vienen siendo los costos de todo lo que conforma el proyecto. Para ello, utilizaremos esta plantilla de Excel, la cual ya viene con lo que son las fórmulas en la mayoría de las secciones; sin embargo, es importante que durante la actividad lleguemos a comprender la función específica de cada uno de estos y como es que se logra obtener el resultado, al igual nos podemos apoyar en lo que se nos proporciona del material de la actividad, que también cuenta con la explicación de los ejercicios para entenderlo de forma más fácil para nosotros.</t>
  </si>
  <si>
    <t>Una vez finalizada la actividad, se pueden observar varios puntos, en esta actividad lleva varias partes en sí, iniciando con lo que viene siendo la recuperación de la inversión del proyecto, podemos ver como conforme al paso de los años, se va recuperando poco a poco lo que viene siendo la inversión para después pasar directamente a lo que es la ganancia en sí, e igual se agrega en si cuanto tiempo se requirió para llegar ahí. La otra parte es en sí el cómo se evalúan los puntajes para las partes o diferentes servicios, en pocas palabras, ya que son varios términos los que se ven ahí. Considero que estuvo muy bien ver esta parte, ya que por lo general al estar en la carrera, solo tenemos un enfoque en automático a la programación sin tomar en cuenta otras partes que también lo conforman y son importantes, ya que gracias a esto podemos demostrarle a nuestro cliente cuanto demoraría en si la recuperación de su inversión, contemplamos los costos que se van a requerir para trabajar en el proyecto. Los costos es algo muy importante siempre en el trabajo que si no prestamos el tiempo necesario, incluso puede ser una parte de nuestro dinero y tiempo regalado al cliente, que termina afectándonos.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</si>
</sst>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quot;$&quot;#,##0.00"/>
    <numFmt numFmtId="165" formatCode="_-&quot;$&quot;* #,##0.00_-;[Red]\-&quot;$&quot;* #,##0.00_-;_-&quot;$&quot;* &quot;-&quot;??_-;_-@_-"/>
  </numFmts>
  <fonts count="27" x14ac:knownFonts="1">
    <font>
      <sz val="11"/>
      <color theme="1"/>
      <name val="Calibri"/>
      <family val="2"/>
      <scheme val="minor"/>
    </font>
    <font>
      <sz val="11"/>
      <color theme="1"/>
      <name val="Calibri"/>
      <family val="2"/>
      <scheme val="minor"/>
    </font>
    <font>
      <b/>
      <sz val="13"/>
      <color theme="3"/>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4"/>
      <color theme="1"/>
      <name val="Calibri"/>
      <family val="2"/>
      <scheme val="minor"/>
    </font>
    <font>
      <b/>
      <sz val="11"/>
      <name val="Calibri"/>
      <family val="2"/>
      <scheme val="minor"/>
    </font>
    <font>
      <b/>
      <sz val="11"/>
      <name val="Century Gothic"/>
      <family val="2"/>
    </font>
    <font>
      <b/>
      <sz val="16"/>
      <color theme="0"/>
      <name val="Century Gothic"/>
      <family val="2"/>
    </font>
    <font>
      <b/>
      <sz val="11"/>
      <color theme="1"/>
      <name val="Century Gothic"/>
      <family val="2"/>
    </font>
    <font>
      <sz val="11"/>
      <color theme="1"/>
      <name val="Century Gothic"/>
      <family val="2"/>
    </font>
    <font>
      <b/>
      <sz val="12"/>
      <color theme="1" tint="4.9989318521683403E-2"/>
      <name val="Century Gothic"/>
      <family val="2"/>
    </font>
    <font>
      <b/>
      <sz val="11"/>
      <color theme="3"/>
      <name val="Century Gothic"/>
      <family val="2"/>
    </font>
    <font>
      <b/>
      <sz val="12"/>
      <color theme="1"/>
      <name val="Calibri"/>
      <family val="2"/>
      <scheme val="minor"/>
    </font>
    <font>
      <b/>
      <sz val="16"/>
      <name val="Century Gothic"/>
      <family val="2"/>
    </font>
    <font>
      <sz val="11"/>
      <color rgb="FF7030A0"/>
      <name val="Calibri"/>
      <family val="2"/>
      <scheme val="minor"/>
    </font>
    <font>
      <b/>
      <sz val="11"/>
      <color rgb="FFFF0000"/>
      <name val="Calibri"/>
      <family val="2"/>
      <scheme val="minor"/>
    </font>
    <font>
      <i/>
      <sz val="11"/>
      <color theme="0" tint="-0.34998626667073579"/>
      <name val="Calibri"/>
      <family val="2"/>
      <scheme val="minor"/>
    </font>
    <font>
      <b/>
      <sz val="11"/>
      <color rgb="FF7030A0"/>
      <name val="Calibri"/>
      <family val="2"/>
      <scheme val="minor"/>
    </font>
    <font>
      <b/>
      <sz val="15"/>
      <color theme="1"/>
      <name val="Century Gothic"/>
      <family val="2"/>
    </font>
    <font>
      <sz val="10"/>
      <color theme="1"/>
      <name val="Century Gothic"/>
      <family val="2"/>
    </font>
    <font>
      <b/>
      <sz val="10"/>
      <color theme="1"/>
      <name val="Century Gothic"/>
      <family val="2"/>
    </font>
    <font>
      <sz val="9"/>
      <color indexed="81"/>
      <name val="Tahoma"/>
      <family val="2"/>
    </font>
    <font>
      <sz val="12"/>
      <color theme="1"/>
      <name val="Times New Roman"/>
      <family val="1"/>
    </font>
  </fonts>
  <fills count="13">
    <fill>
      <patternFill patternType="none"/>
    </fill>
    <fill>
      <patternFill patternType="gray125"/>
    </fill>
    <fill>
      <patternFill patternType="solid">
        <fgColor theme="5"/>
      </patternFill>
    </fill>
    <fill>
      <patternFill patternType="solid">
        <fgColor theme="8"/>
      </patternFill>
    </fill>
    <fill>
      <patternFill patternType="solid">
        <fgColor rgb="FFFFC000"/>
        <bgColor indexed="64"/>
      </patternFill>
    </fill>
    <fill>
      <patternFill patternType="solid">
        <fgColor theme="4"/>
        <bgColor theme="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s>
  <borders count="9">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double">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cellStyleXfs>
  <cellXfs count="71">
    <xf numFmtId="0" fontId="0" fillId="0" borderId="0" xfId="0"/>
    <xf numFmtId="0" fontId="5" fillId="0" borderId="0" xfId="0" applyFont="1"/>
    <xf numFmtId="0" fontId="0" fillId="0" borderId="0" xfId="0" applyAlignment="1">
      <alignment horizontal="center"/>
    </xf>
    <xf numFmtId="0" fontId="2" fillId="0" borderId="0" xfId="3" applyFill="1" applyBorder="1" applyAlignment="1">
      <alignment wrapText="1"/>
    </xf>
    <xf numFmtId="14" fontId="0" fillId="0" borderId="0" xfId="0" applyNumberFormat="1"/>
    <xf numFmtId="0" fontId="5" fillId="4" borderId="0" xfId="0" applyFont="1" applyFill="1"/>
    <xf numFmtId="10" fontId="8" fillId="4" borderId="0" xfId="0" applyNumberFormat="1" applyFont="1" applyFill="1"/>
    <xf numFmtId="0" fontId="5" fillId="0" borderId="0" xfId="0" applyFont="1" applyAlignment="1">
      <alignment horizontal="center"/>
    </xf>
    <xf numFmtId="0" fontId="4" fillId="0" borderId="0" xfId="0" applyFont="1"/>
    <xf numFmtId="0" fontId="10" fillId="4" borderId="0" xfId="0" applyFont="1" applyFill="1"/>
    <xf numFmtId="0" fontId="12" fillId="0" borderId="0" xfId="0" applyFont="1"/>
    <xf numFmtId="0" fontId="13" fillId="0" borderId="0" xfId="0" applyFont="1"/>
    <xf numFmtId="0" fontId="5" fillId="4" borderId="3" xfId="0" applyFont="1" applyFill="1" applyBorder="1"/>
    <xf numFmtId="0" fontId="0" fillId="4" borderId="4" xfId="0" applyFill="1" applyBorder="1"/>
    <xf numFmtId="0" fontId="0" fillId="4" borderId="5" xfId="0" applyFill="1" applyBorder="1"/>
    <xf numFmtId="2" fontId="5" fillId="4" borderId="2" xfId="0" applyNumberFormat="1" applyFont="1" applyFill="1" applyBorder="1"/>
    <xf numFmtId="1" fontId="5" fillId="4" borderId="2" xfId="0" applyNumberFormat="1" applyFont="1" applyFill="1" applyBorder="1"/>
    <xf numFmtId="0" fontId="5" fillId="0" borderId="0" xfId="0" applyFont="1" applyAlignment="1">
      <alignment horizontal="left"/>
    </xf>
    <xf numFmtId="0" fontId="14" fillId="0" borderId="0" xfId="0" applyFont="1"/>
    <xf numFmtId="1" fontId="12" fillId="0" borderId="0" xfId="0" applyNumberFormat="1" applyFont="1" applyAlignment="1">
      <alignment horizontal="center" vertical="center"/>
    </xf>
    <xf numFmtId="1" fontId="13" fillId="0" borderId="0" xfId="0" applyNumberFormat="1" applyFont="1" applyAlignment="1">
      <alignment horizontal="center"/>
    </xf>
    <xf numFmtId="165" fontId="12" fillId="0" borderId="0" xfId="0" applyNumberFormat="1" applyFont="1"/>
    <xf numFmtId="1" fontId="13" fillId="0" borderId="0" xfId="0" applyNumberFormat="1" applyFont="1" applyAlignment="1">
      <alignment horizontal="center" vertical="center"/>
    </xf>
    <xf numFmtId="44" fontId="13" fillId="0" borderId="0" xfId="0" applyNumberFormat="1" applyFont="1"/>
    <xf numFmtId="165" fontId="13" fillId="0" borderId="0" xfId="0" applyNumberFormat="1" applyFont="1"/>
    <xf numFmtId="10" fontId="13" fillId="0" borderId="0" xfId="2" applyNumberFormat="1" applyFont="1"/>
    <xf numFmtId="0" fontId="15" fillId="0" borderId="1" xfId="3" applyFont="1" applyAlignment="1">
      <alignment wrapText="1"/>
    </xf>
    <xf numFmtId="0" fontId="3" fillId="5" borderId="7" xfId="0" applyFont="1" applyFill="1" applyBorder="1"/>
    <xf numFmtId="0" fontId="3" fillId="5" borderId="6" xfId="0" applyFont="1" applyFill="1" applyBorder="1"/>
    <xf numFmtId="0" fontId="16" fillId="6" borderId="0" xfId="0" applyFont="1" applyFill="1"/>
    <xf numFmtId="0" fontId="17" fillId="0" borderId="0" xfId="5" applyFont="1" applyFill="1" applyAlignment="1"/>
    <xf numFmtId="0" fontId="5" fillId="7" borderId="0" xfId="0" applyFont="1" applyFill="1"/>
    <xf numFmtId="0" fontId="18" fillId="0" borderId="0" xfId="0" applyFont="1"/>
    <xf numFmtId="0" fontId="5" fillId="0" borderId="2" xfId="0" applyFont="1" applyBorder="1"/>
    <xf numFmtId="0" fontId="19" fillId="0" borderId="2" xfId="0" applyFont="1" applyBorder="1"/>
    <xf numFmtId="0" fontId="5" fillId="4" borderId="0" xfId="0" applyFont="1" applyFill="1" applyAlignment="1">
      <alignment horizontal="left"/>
    </xf>
    <xf numFmtId="0" fontId="5" fillId="9" borderId="0" xfId="0" applyFont="1" applyFill="1" applyAlignment="1">
      <alignment horizontal="left"/>
    </xf>
    <xf numFmtId="0" fontId="5" fillId="10" borderId="0" xfId="0" applyFont="1" applyFill="1" applyAlignment="1">
      <alignment horizontal="left"/>
    </xf>
    <xf numFmtId="0" fontId="20" fillId="0" borderId="0" xfId="0" applyFont="1"/>
    <xf numFmtId="0" fontId="5" fillId="0" borderId="2" xfId="0" applyFont="1" applyBorder="1" applyAlignment="1">
      <alignment horizontal="right"/>
    </xf>
    <xf numFmtId="0" fontId="21" fillId="0" borderId="2" xfId="0" applyFont="1" applyBorder="1" applyAlignment="1">
      <alignment horizontal="right"/>
    </xf>
    <xf numFmtId="0" fontId="21" fillId="0" borderId="0" xfId="0" applyFont="1" applyAlignment="1">
      <alignment horizontal="right"/>
    </xf>
    <xf numFmtId="44" fontId="18" fillId="0" borderId="2" xfId="0" applyNumberFormat="1" applyFont="1" applyBorder="1"/>
    <xf numFmtId="1" fontId="18" fillId="0" borderId="2" xfId="0" applyNumberFormat="1" applyFont="1" applyBorder="1"/>
    <xf numFmtId="0" fontId="21" fillId="0" borderId="2" xfId="0" applyFont="1" applyBorder="1"/>
    <xf numFmtId="2" fontId="5" fillId="0" borderId="2" xfId="0" applyNumberFormat="1" applyFont="1" applyBorder="1"/>
    <xf numFmtId="1" fontId="5" fillId="0" borderId="2" xfId="0" applyNumberFormat="1" applyFont="1" applyBorder="1"/>
    <xf numFmtId="0" fontId="19" fillId="0" borderId="0" xfId="0" applyFont="1"/>
    <xf numFmtId="2" fontId="21" fillId="0" borderId="2" xfId="0" applyNumberFormat="1" applyFont="1" applyBorder="1"/>
    <xf numFmtId="0" fontId="17" fillId="0" borderId="3" xfId="5" applyFont="1" applyFill="1" applyBorder="1" applyAlignment="1"/>
    <xf numFmtId="0" fontId="0" fillId="0" borderId="4" xfId="0" applyBorder="1"/>
    <xf numFmtId="0" fontId="17" fillId="0" borderId="5" xfId="5" applyFont="1" applyFill="1" applyBorder="1" applyAlignment="1"/>
    <xf numFmtId="164" fontId="9" fillId="2" borderId="2" xfId="4" applyNumberFormat="1" applyFont="1" applyBorder="1"/>
    <xf numFmtId="164" fontId="0" fillId="0" borderId="2" xfId="1" applyNumberFormat="1" applyFont="1" applyFill="1" applyBorder="1"/>
    <xf numFmtId="0" fontId="9" fillId="0" borderId="2" xfId="0" applyFont="1" applyBorder="1"/>
    <xf numFmtId="0" fontId="9" fillId="8" borderId="0" xfId="0" applyFont="1" applyFill="1"/>
    <xf numFmtId="0" fontId="13" fillId="0" borderId="0" xfId="0" applyFont="1" applyAlignment="1">
      <alignment vertical="top"/>
    </xf>
    <xf numFmtId="0" fontId="13" fillId="0" borderId="0" xfId="0" applyFont="1" applyAlignment="1">
      <alignment vertical="top" wrapText="1"/>
    </xf>
    <xf numFmtId="0" fontId="13" fillId="0" borderId="0" xfId="0" applyFont="1" applyAlignment="1">
      <alignment horizontal="center" vertical="center"/>
    </xf>
    <xf numFmtId="10" fontId="13" fillId="0" borderId="0" xfId="0" applyNumberFormat="1" applyFont="1"/>
    <xf numFmtId="0" fontId="13" fillId="0" borderId="0" xfId="0" applyFont="1" applyAlignment="1">
      <alignment horizontal="left" vertical="top" wrapText="1"/>
    </xf>
    <xf numFmtId="0" fontId="11" fillId="3" borderId="0" xfId="5" applyFont="1" applyAlignment="1">
      <alignment horizontal="center"/>
    </xf>
    <xf numFmtId="0" fontId="22" fillId="0" borderId="0" xfId="0" applyFont="1" applyAlignment="1">
      <alignment horizontal="left" vertical="top" wrapText="1"/>
    </xf>
    <xf numFmtId="0" fontId="23" fillId="11" borderId="0" xfId="0" applyFont="1" applyFill="1" applyAlignment="1">
      <alignment horizontal="center" vertical="top" wrapText="1"/>
    </xf>
    <xf numFmtId="0" fontId="13" fillId="12" borderId="0" xfId="0" applyFont="1" applyFill="1" applyAlignment="1">
      <alignment horizontal="left" vertical="top" wrapText="1"/>
    </xf>
    <xf numFmtId="0" fontId="13" fillId="12" borderId="8" xfId="0" applyFont="1" applyFill="1" applyBorder="1" applyAlignment="1">
      <alignment horizontal="left" vertical="top" wrapText="1"/>
    </xf>
    <xf numFmtId="0" fontId="7" fillId="3" borderId="0" xfId="5" applyFont="1" applyAlignment="1">
      <alignment horizontal="center"/>
    </xf>
    <xf numFmtId="0" fontId="0" fillId="0" borderId="0" xfId="0" applyAlignment="1">
      <alignment horizontal="left" vertical="top" wrapText="1"/>
    </xf>
    <xf numFmtId="6" fontId="21" fillId="0" borderId="2" xfId="0" applyNumberFormat="1" applyFont="1" applyBorder="1"/>
    <xf numFmtId="0" fontId="26" fillId="12" borderId="0" xfId="0" applyFont="1" applyFill="1" applyAlignment="1">
      <alignment horizontal="left" vertical="top" wrapText="1"/>
    </xf>
    <xf numFmtId="0" fontId="26" fillId="0" borderId="0" xfId="0" applyFont="1" applyAlignment="1">
      <alignment horizontal="left" vertical="top" wrapText="1"/>
    </xf>
  </cellXfs>
  <cellStyles count="6">
    <cellStyle name="Énfasis2" xfId="4" builtinId="33"/>
    <cellStyle name="Énfasis5" xfId="5" builtinId="45"/>
    <cellStyle name="Millares" xfId="1" builtinId="3"/>
    <cellStyle name="Normal" xfId="0" builtinId="0"/>
    <cellStyle name="Porcentaje" xfId="2" builtinId="5"/>
    <cellStyle name="Título 2" xfId="3" builtinId="17"/>
  </cellStyles>
  <dxfs count="20">
    <dxf>
      <font>
        <b val="0"/>
        <i val="0"/>
        <strike val="0"/>
        <condense val="0"/>
        <extend val="0"/>
        <outline val="0"/>
        <shadow val="0"/>
        <u val="none"/>
        <vertAlign val="baseline"/>
        <sz val="11"/>
        <color theme="1"/>
        <name val="Century Gothic"/>
        <family val="2"/>
        <scheme val="none"/>
      </font>
      <numFmt numFmtId="165" formatCode="_-&quot;$&quot;* #,##0.00_-;[Red]\-&quot;$&quot;* #,##0.00_-;_-&quot;$&quot;* &quot;-&quot;??_-;_-@_-"/>
    </dxf>
    <dxf>
      <font>
        <b val="0"/>
        <i val="0"/>
        <strike val="0"/>
        <condense val="0"/>
        <extend val="0"/>
        <outline val="0"/>
        <shadow val="0"/>
        <u val="none"/>
        <vertAlign val="baseline"/>
        <sz val="11"/>
        <color theme="1"/>
        <name val="Century Gothic"/>
        <family val="2"/>
        <scheme val="none"/>
      </font>
      <numFmt numFmtId="34" formatCode="_-&quot;$&quot;* #,##0.00_-;\-&quot;$&quot;* #,##0.00_-;_-&quot;$&quot;* &quot;-&quot;??_-;_-@_-"/>
    </dxf>
    <dxf>
      <font>
        <b val="0"/>
        <i val="0"/>
        <strike val="0"/>
        <condense val="0"/>
        <extend val="0"/>
        <outline val="0"/>
        <shadow val="0"/>
        <u val="none"/>
        <vertAlign val="baseline"/>
        <sz val="11"/>
        <color theme="1"/>
        <name val="Century Gothic"/>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entury Gothic"/>
        <family val="2"/>
        <scheme val="none"/>
      </font>
      <alignment horizontal="center" vertical="center" textRotation="0" wrapText="0" indent="0" justifyLastLine="0" shrinkToFit="0" readingOrder="0"/>
    </dxf>
    <dxf>
      <font>
        <b/>
      </font>
      <alignment horizontal="center" vertical="bottom" textRotation="0" wrapText="0" indent="0" justifyLastLine="0" shrinkToFit="0" readingOrder="0"/>
    </dxf>
    <dxf>
      <font>
        <b/>
      </font>
    </dxf>
    <dxf>
      <numFmt numFmtId="0" formatCode="General"/>
    </dxf>
    <dxf>
      <font>
        <b/>
        <i val="0"/>
        <strike val="0"/>
        <condense val="0"/>
        <extend val="0"/>
        <outline val="0"/>
        <shadow val="0"/>
        <u val="none"/>
        <vertAlign val="baseline"/>
        <sz val="11"/>
        <color theme="0"/>
        <name val="Calibri"/>
        <scheme val="minor"/>
      </font>
      <fill>
        <patternFill patternType="solid">
          <fgColor theme="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entury Gothic"/>
        <family val="2"/>
        <scheme val="none"/>
      </font>
      <numFmt numFmtId="14" formatCode="0.00%"/>
    </dxf>
    <dxf>
      <font>
        <strike val="0"/>
        <outline val="0"/>
        <shadow val="0"/>
        <u val="none"/>
        <vertAlign val="baseline"/>
        <name val="Century Gothic"/>
        <scheme val="none"/>
      </font>
      <numFmt numFmtId="14" formatCode="0.00%"/>
    </dxf>
    <dxf>
      <font>
        <strike val="0"/>
        <outline val="0"/>
        <shadow val="0"/>
        <u val="none"/>
        <vertAlign val="baseline"/>
        <name val="Century Gothic"/>
        <scheme val="none"/>
      </font>
      <numFmt numFmtId="165" formatCode="_-&quot;$&quot;* #,##0.00_-;[Red]\-&quot;$&quot;* #,##0.00_-;_-&quot;$&quot;* &quot;-&quot;??_-;_-@_-"/>
    </dxf>
    <dxf>
      <font>
        <strike val="0"/>
        <outline val="0"/>
        <shadow val="0"/>
        <u val="none"/>
        <vertAlign val="baseline"/>
        <name val="Century Gothic"/>
        <scheme val="none"/>
      </font>
      <numFmt numFmtId="34" formatCode="_-&quot;$&quot;* #,##0.00_-;\-&quot;$&quot;* #,##0.00_-;_-&quot;$&quot;* &quot;-&quot;??_-;_-@_-"/>
    </dxf>
    <dxf>
      <font>
        <strike val="0"/>
        <outline val="0"/>
        <shadow val="0"/>
        <u val="none"/>
        <vertAlign val="baseline"/>
        <name val="Century Gothic"/>
        <scheme val="none"/>
      </font>
      <numFmt numFmtId="1" formatCode="0"/>
      <alignment horizontal="center" vertical="bottom" textRotation="0" wrapText="0" indent="0" justifyLastLine="0" shrinkToFit="0" readingOrder="0"/>
    </dxf>
    <dxf>
      <font>
        <strike val="0"/>
        <outline val="0"/>
        <shadow val="0"/>
        <u val="none"/>
        <vertAlign val="baseline"/>
        <name val="Century Gothic"/>
        <scheme val="none"/>
      </font>
      <alignment horizontal="center" vertical="center" textRotation="0" wrapText="0" indent="0" justifyLastLine="0" shrinkToFit="0" readingOrder="0"/>
    </dxf>
    <dxf>
      <font>
        <strike val="0"/>
        <outline val="0"/>
        <shadow val="0"/>
        <u val="none"/>
        <vertAlign val="baseline"/>
        <name val="Century Gothic"/>
        <scheme val="none"/>
      </font>
    </dxf>
    <dxf>
      <font>
        <strike val="0"/>
        <outline val="0"/>
        <shadow val="0"/>
        <u val="none"/>
        <vertAlign val="baseline"/>
        <name val="Century Gothic"/>
        <scheme val="none"/>
      </font>
    </dxf>
    <dxf>
      <font>
        <b/>
        <strike val="0"/>
        <outline val="0"/>
        <shadow val="0"/>
        <u val="none"/>
        <vertAlign val="baseline"/>
        <sz val="12"/>
        <color theme="1" tint="4.9989318521683403E-2"/>
        <name val="Century Gothic"/>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144780</xdr:colOff>
      <xdr:row>0</xdr:row>
      <xdr:rowOff>15240</xdr:rowOff>
    </xdr:from>
    <xdr:to>
      <xdr:col>7</xdr:col>
      <xdr:colOff>655658</xdr:colOff>
      <xdr:row>37</xdr:row>
      <xdr:rowOff>114735</xdr:rowOff>
    </xdr:to>
    <xdr:pic>
      <xdr:nvPicPr>
        <xdr:cNvPr id="2" name="Imagen 1">
          <a:extLst>
            <a:ext uri="{FF2B5EF4-FFF2-40B4-BE49-F238E27FC236}">
              <a16:creationId xmlns:a16="http://schemas.microsoft.com/office/drawing/2014/main" id="{0E1AEFF5-449E-2D47-A227-EE441766C82F}"/>
            </a:ext>
          </a:extLst>
        </xdr:cNvPr>
        <xdr:cNvPicPr>
          <a:picLocks noChangeAspect="1"/>
        </xdr:cNvPicPr>
      </xdr:nvPicPr>
      <xdr:blipFill rotWithShape="1">
        <a:blip xmlns:r="http://schemas.openxmlformats.org/officeDocument/2006/relationships" r:embed="rId1"/>
        <a:srcRect l="1051"/>
        <a:stretch>
          <a:fillRect/>
        </a:stretch>
      </xdr:blipFill>
      <xdr:spPr>
        <a:xfrm>
          <a:off x="937260" y="15240"/>
          <a:ext cx="5265758" cy="68660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15" displayName="Tabla15" ref="B10:F22" totalsRowCount="1" headerRowDxfId="19" dataDxfId="18" totalsRowDxfId="17">
  <autoFilter ref="B10:F21" xr:uid="{00000000-0009-0000-0100-000002000000}"/>
  <tableColumns count="5">
    <tableColumn id="1" xr3:uid="{00000000-0010-0000-0000-000001000000}" name="Año" dataDxfId="16" totalsRowDxfId="3"/>
    <tableColumn id="2" xr3:uid="{00000000-0010-0000-0000-000002000000}" name="No. Año" dataDxfId="15" totalsRowDxfId="2"/>
    <tableColumn id="3" xr3:uid="{00000000-0010-0000-0000-000003000000}" name="Flujo de efectivo" totalsRowFunction="custom" dataDxfId="14" totalsRowDxfId="1">
      <totalsRowFormula>_xlfn.FORMULATEXT(D21)</totalsRowFormula>
    </tableColumn>
    <tableColumn id="4" xr3:uid="{00000000-0010-0000-0000-000004000000}" name="Flujo Acumulado" dataDxfId="13" totalsRowDxfId="0">
      <calculatedColumnFormula>Tabla15[[#This Row],[Flujo de efectivo]]</calculatedColumnFormula>
    </tableColumn>
    <tableColumn id="5" xr3:uid="{00000000-0010-0000-0000-000005000000}" name="ROI" dataDxfId="12" totalsRowDxfId="11">
      <calculatedColumnFormula>($C$7+D11)/$C$7</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1000000}" name="Tabla3518" displayName="Tabla3518" ref="B24:E29" totalsRowShown="0">
  <autoFilter ref="B24:E29" xr:uid="{00000000-0009-0000-0100-000011000000}"/>
  <tableColumns count="4">
    <tableColumn id="1" xr3:uid="{00000000-0010-0000-0100-000001000000}" name="Tipo/Complejidad"/>
    <tableColumn id="2" xr3:uid="{00000000-0010-0000-0100-000002000000}" name="Baja" dataDxfId="10"/>
    <tableColumn id="3" xr3:uid="{00000000-0010-0000-0100-000003000000}" name="Media" dataDxfId="9"/>
    <tableColumn id="4" xr3:uid="{00000000-0010-0000-0100-000004000000}" name="Alta"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2000000}" name="Tabla23" displayName="Tabla23" ref="B6:F21" totalsRowShown="0" headerRowDxfId="7">
  <autoFilter ref="B6:F21" xr:uid="{00000000-0009-0000-0100-000017000000}"/>
  <tableColumns count="5">
    <tableColumn id="1" xr3:uid="{00000000-0010-0000-0200-000001000000}" name="Requisitos"/>
    <tableColumn id="2" xr3:uid="{00000000-0010-0000-0200-000002000000}" name="Tipo"/>
    <tableColumn id="3" xr3:uid="{00000000-0010-0000-0200-000003000000}" name="Cantidad" dataDxfId="6">
      <calculatedColumnFormula array="1">_xlfn.IFS($C$4="Baja",LOOKUP(C7,Tabla3518[Tipo/Complejidad],Baja), $C$4="Media",LOOKUP(C7,Tabla3518[Tipo/Complejidad],Media),$C$4="Alta",LOOKUP(C7,Tabla3518[Tipo/Complejidad],Alta))</calculatedColumnFormula>
    </tableColumn>
    <tableColumn id="4" xr3:uid="{00000000-0010-0000-0200-000004000000}" name="Valor"/>
    <tableColumn id="5" xr3:uid="{00000000-0010-0000-0200-000005000000}" name="Total ">
      <calculatedColumnFormula>Tabla23[[#This Row],[Cantidad]]*Tabla23[[#This Row],[Valor]]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3000000}" name="Tabla792027" displayName="Tabla792027" ref="B3:D18" totalsRowShown="0" headerRowDxfId="5">
  <autoFilter ref="B3:D18" xr:uid="{00000000-0009-0000-0100-00001A000000}"/>
  <tableColumns count="3">
    <tableColumn id="1" xr3:uid="{00000000-0010-0000-0300-000001000000}" name="Factor de Ajuste"/>
    <tableColumn id="2" xr3:uid="{00000000-0010-0000-0300-000002000000}" name="Impacto"/>
    <tableColumn id="3" xr3:uid="{00000000-0010-0000-0300-000003000000}" name="Puntaje asignad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4000000}" name="Tabla11102128" displayName="Tabla11102128" ref="F8:G13" headerRowCount="0" totalsRowShown="0">
  <tableColumns count="2">
    <tableColumn id="1" xr3:uid="{00000000-0010-0000-0400-000001000000}" name="Columna1" dataDxfId="4"/>
    <tableColumn id="2" xr3:uid="{00000000-0010-0000-0400-000002000000}" name="Columna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05000000}" name="Tabla1211222940" displayName="Tabla1211222940" ref="B8:D11" totalsRowShown="0">
  <autoFilter ref="B8:D11" xr:uid="{00000000-0009-0000-0100-000027000000}"/>
  <tableColumns count="3">
    <tableColumn id="1" xr3:uid="{00000000-0010-0000-0500-000001000000}" name="Lenguaje"/>
    <tableColumn id="2" xr3:uid="{00000000-0010-0000-0500-000002000000}" name="Horas PF promedio"/>
    <tableColumn id="3" xr3:uid="{00000000-0010-0000-0500-000003000000}" name="Línea de código"/>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
  <sheetViews>
    <sheetView workbookViewId="0">
      <selection activeCell="O27" sqref="O27"/>
    </sheetView>
  </sheetViews>
  <sheetFormatPr baseColWidth="10" defaultRowHeight="14.4" x14ac:dyDescent="0.3"/>
  <sheetData>
    <row r="1" spans="1:1" x14ac:dyDescent="0.3">
      <c r="A1" s="1" t="s">
        <v>111</v>
      </c>
    </row>
  </sheetData>
  <pageMargins left="0.25" right="0.25"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F15"/>
  <sheetViews>
    <sheetView workbookViewId="0">
      <selection activeCell="B6" sqref="B6:E14"/>
    </sheetView>
  </sheetViews>
  <sheetFormatPr baseColWidth="10" defaultRowHeight="14.4" x14ac:dyDescent="0.3"/>
  <cols>
    <col min="1" max="6" width="20.6640625" customWidth="1"/>
  </cols>
  <sheetData>
    <row r="1" spans="1:6" ht="18.600000000000001" x14ac:dyDescent="0.3">
      <c r="A1" s="62" t="s">
        <v>112</v>
      </c>
      <c r="B1" s="62"/>
      <c r="C1" s="62"/>
    </row>
    <row r="2" spans="1:6" x14ac:dyDescent="0.3">
      <c r="A2" s="63" t="s">
        <v>113</v>
      </c>
      <c r="B2" s="63"/>
      <c r="C2" s="63"/>
      <c r="D2" s="63"/>
      <c r="E2" s="63"/>
      <c r="F2" s="63"/>
    </row>
    <row r="3" spans="1:6" x14ac:dyDescent="0.3">
      <c r="A3" s="63"/>
      <c r="B3" s="63"/>
      <c r="C3" s="63"/>
      <c r="D3" s="63"/>
      <c r="E3" s="63"/>
      <c r="F3" s="63"/>
    </row>
    <row r="4" spans="1:6" x14ac:dyDescent="0.3">
      <c r="A4" s="63"/>
      <c r="B4" s="63"/>
      <c r="C4" s="63"/>
      <c r="D4" s="63"/>
      <c r="E4" s="63"/>
      <c r="F4" s="63"/>
    </row>
    <row r="6" spans="1:6" ht="54.6" customHeight="1" x14ac:dyDescent="0.3">
      <c r="B6" s="69" t="s">
        <v>118</v>
      </c>
      <c r="C6" s="64"/>
      <c r="D6" s="64"/>
      <c r="E6" s="64"/>
    </row>
    <row r="7" spans="1:6" x14ac:dyDescent="0.3">
      <c r="B7" s="64"/>
      <c r="C7" s="64"/>
      <c r="D7" s="64"/>
      <c r="E7" s="64"/>
    </row>
    <row r="8" spans="1:6" x14ac:dyDescent="0.3">
      <c r="B8" s="64"/>
      <c r="C8" s="64"/>
      <c r="D8" s="64"/>
      <c r="E8" s="64"/>
    </row>
    <row r="9" spans="1:6" x14ac:dyDescent="0.3">
      <c r="B9" s="64"/>
      <c r="C9" s="64"/>
      <c r="D9" s="64"/>
      <c r="E9" s="64"/>
    </row>
    <row r="10" spans="1:6" x14ac:dyDescent="0.3">
      <c r="B10" s="64"/>
      <c r="C10" s="64"/>
      <c r="D10" s="64"/>
      <c r="E10" s="64"/>
    </row>
    <row r="11" spans="1:6" x14ac:dyDescent="0.3">
      <c r="B11" s="64"/>
      <c r="C11" s="64"/>
      <c r="D11" s="64"/>
      <c r="E11" s="64"/>
    </row>
    <row r="12" spans="1:6" x14ac:dyDescent="0.3">
      <c r="B12" s="64"/>
      <c r="C12" s="64"/>
      <c r="D12" s="64"/>
      <c r="E12" s="64"/>
    </row>
    <row r="13" spans="1:6" x14ac:dyDescent="0.3">
      <c r="B13" s="64"/>
      <c r="C13" s="64"/>
      <c r="D13" s="64"/>
      <c r="E13" s="64"/>
    </row>
    <row r="14" spans="1:6" ht="15" thickBot="1" x14ac:dyDescent="0.35">
      <c r="B14" s="65"/>
      <c r="C14" s="65"/>
      <c r="D14" s="65"/>
      <c r="E14" s="65"/>
    </row>
    <row r="15" spans="1:6" ht="15" customHeight="1" thickTop="1" x14ac:dyDescent="0.3"/>
  </sheetData>
  <mergeCells count="3">
    <mergeCell ref="A1:C1"/>
    <mergeCell ref="A2:F4"/>
    <mergeCell ref="B6:E14"/>
  </mergeCells>
  <pageMargins left="0.25" right="0.25" top="0.75" bottom="0.75" header="0.3" footer="0.3"/>
  <pageSetup orientation="landscape" horizontalDpi="4294967293" vertic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4"/>
  <sheetViews>
    <sheetView topLeftCell="A5" zoomScale="91" zoomScaleNormal="91" workbookViewId="0">
      <selection activeCell="B29" sqref="B29"/>
    </sheetView>
  </sheetViews>
  <sheetFormatPr baseColWidth="10" defaultRowHeight="14.4" x14ac:dyDescent="0.3"/>
  <cols>
    <col min="1" max="1" width="20.109375" customWidth="1"/>
    <col min="2" max="2" width="19.109375" customWidth="1"/>
    <col min="3" max="3" width="20" customWidth="1"/>
    <col min="4" max="4" width="21.6640625" customWidth="1"/>
    <col min="5" max="5" width="25.5546875" customWidth="1"/>
    <col min="6" max="6" width="12" customWidth="1"/>
    <col min="7" max="7" width="27.6640625" bestFit="1" customWidth="1"/>
  </cols>
  <sheetData>
    <row r="1" spans="1:6" ht="20.399999999999999" x14ac:dyDescent="0.35">
      <c r="A1" s="49" t="s">
        <v>94</v>
      </c>
      <c r="B1" s="50"/>
      <c r="C1" s="51"/>
      <c r="D1" s="30"/>
      <c r="E1" s="30"/>
      <c r="F1" s="30"/>
    </row>
    <row r="2" spans="1:6" x14ac:dyDescent="0.3">
      <c r="B2" s="10"/>
      <c r="C2" s="11"/>
      <c r="D2" s="11"/>
      <c r="E2" s="11"/>
    </row>
    <row r="3" spans="1:6" ht="20.399999999999999" x14ac:dyDescent="0.35">
      <c r="B3" s="61" t="s">
        <v>67</v>
      </c>
      <c r="C3" s="61"/>
      <c r="D3" s="61"/>
      <c r="E3" s="61"/>
      <c r="F3" s="61"/>
    </row>
    <row r="4" spans="1:6" ht="16.5" customHeight="1" thickBot="1" x14ac:dyDescent="0.35">
      <c r="A4" s="26" t="s">
        <v>66</v>
      </c>
      <c r="B4" s="60" t="s">
        <v>95</v>
      </c>
      <c r="C4" s="60"/>
      <c r="D4" s="60"/>
      <c r="E4" s="60"/>
      <c r="F4" s="60"/>
    </row>
    <row r="5" spans="1:6" ht="16.5" customHeight="1" thickTop="1" x14ac:dyDescent="0.3">
      <c r="B5" s="60"/>
      <c r="C5" s="60"/>
      <c r="D5" s="60"/>
      <c r="E5" s="60"/>
      <c r="F5" s="60"/>
    </row>
    <row r="6" spans="1:6" ht="16.5" customHeight="1" x14ac:dyDescent="0.3">
      <c r="B6" s="60"/>
      <c r="C6" s="60"/>
      <c r="D6" s="60"/>
      <c r="E6" s="60"/>
      <c r="F6" s="60"/>
    </row>
    <row r="7" spans="1:6" x14ac:dyDescent="0.3">
      <c r="B7" s="9" t="s">
        <v>2</v>
      </c>
      <c r="C7" s="42">
        <v>700000</v>
      </c>
    </row>
    <row r="8" spans="1:6" x14ac:dyDescent="0.3">
      <c r="B8" s="9" t="s">
        <v>62</v>
      </c>
      <c r="C8" s="43">
        <v>2017</v>
      </c>
    </row>
    <row r="10" spans="1:6" ht="15.6" x14ac:dyDescent="0.3">
      <c r="A10" s="11"/>
      <c r="B10" s="18" t="s">
        <v>0</v>
      </c>
      <c r="C10" s="18" t="s">
        <v>61</v>
      </c>
      <c r="D10" s="18" t="s">
        <v>1</v>
      </c>
      <c r="E10" s="18" t="s">
        <v>4</v>
      </c>
      <c r="F10" s="18" t="s">
        <v>10</v>
      </c>
    </row>
    <row r="11" spans="1:6" ht="18" customHeight="1" thickBot="1" x14ac:dyDescent="0.35">
      <c r="A11" s="26" t="s">
        <v>2</v>
      </c>
      <c r="B11" s="19">
        <f>C8-1</f>
        <v>2016</v>
      </c>
      <c r="C11" s="20">
        <v>0</v>
      </c>
      <c r="D11" s="21">
        <v>-700000</v>
      </c>
      <c r="E11" s="21">
        <f>Tabla15[[#This Row],[Flujo de efectivo]]</f>
        <v>-700000</v>
      </c>
      <c r="F11" s="59">
        <f t="shared" ref="F11:F21" si="0">($C$7+D11)/$C$7</f>
        <v>0</v>
      </c>
    </row>
    <row r="12" spans="1:6" ht="18" customHeight="1" thickTop="1" x14ac:dyDescent="0.3">
      <c r="A12" s="11"/>
      <c r="B12" s="22">
        <f>B11+1</f>
        <v>2017</v>
      </c>
      <c r="C12" s="20">
        <v>1</v>
      </c>
      <c r="D12" s="23">
        <v>190000</v>
      </c>
      <c r="E12" s="24">
        <f>E11+D12</f>
        <v>-510000</v>
      </c>
      <c r="F12" s="25">
        <f t="shared" si="0"/>
        <v>1.2714285714285714</v>
      </c>
    </row>
    <row r="13" spans="1:6" ht="18" customHeight="1" x14ac:dyDescent="0.3">
      <c r="A13" s="11"/>
      <c r="B13" s="22">
        <f t="shared" ref="B13:B21" si="1">B12+1</f>
        <v>2018</v>
      </c>
      <c r="C13" s="20">
        <v>2</v>
      </c>
      <c r="D13" s="23">
        <v>200000</v>
      </c>
      <c r="E13" s="24">
        <f t="shared" ref="E13:E21" si="2">E12+D13</f>
        <v>-310000</v>
      </c>
      <c r="F13" s="25">
        <f t="shared" si="0"/>
        <v>1.2857142857142858</v>
      </c>
    </row>
    <row r="14" spans="1:6" ht="18" customHeight="1" x14ac:dyDescent="0.3">
      <c r="A14" s="11"/>
      <c r="B14" s="22">
        <f t="shared" si="1"/>
        <v>2019</v>
      </c>
      <c r="C14" s="20">
        <v>3</v>
      </c>
      <c r="D14" s="23">
        <v>220000</v>
      </c>
      <c r="E14" s="24">
        <f t="shared" si="2"/>
        <v>-90000</v>
      </c>
      <c r="F14" s="25">
        <f t="shared" si="0"/>
        <v>1.3142857142857143</v>
      </c>
    </row>
    <row r="15" spans="1:6" ht="18" customHeight="1" x14ac:dyDescent="0.3">
      <c r="A15" s="11"/>
      <c r="B15" s="22">
        <f t="shared" si="1"/>
        <v>2020</v>
      </c>
      <c r="C15" s="20">
        <v>4</v>
      </c>
      <c r="D15" s="23">
        <v>250000</v>
      </c>
      <c r="E15" s="24">
        <f t="shared" si="2"/>
        <v>160000</v>
      </c>
      <c r="F15" s="25">
        <f t="shared" si="0"/>
        <v>1.3571428571428572</v>
      </c>
    </row>
    <row r="16" spans="1:6" ht="18" customHeight="1" x14ac:dyDescent="0.3">
      <c r="A16" s="11"/>
      <c r="B16" s="22">
        <f t="shared" si="1"/>
        <v>2021</v>
      </c>
      <c r="C16" s="20">
        <v>5</v>
      </c>
      <c r="D16" s="23">
        <v>300000</v>
      </c>
      <c r="E16" s="24">
        <f t="shared" si="2"/>
        <v>460000</v>
      </c>
      <c r="F16" s="25">
        <f t="shared" si="0"/>
        <v>1.4285714285714286</v>
      </c>
    </row>
    <row r="17" spans="1:6" ht="18" customHeight="1" thickBot="1" x14ac:dyDescent="0.35">
      <c r="A17" s="26" t="s">
        <v>3</v>
      </c>
      <c r="B17" s="22">
        <f t="shared" si="1"/>
        <v>2022</v>
      </c>
      <c r="C17" s="20">
        <v>6</v>
      </c>
      <c r="D17" s="23">
        <v>530000</v>
      </c>
      <c r="E17" s="24">
        <f t="shared" si="2"/>
        <v>990000</v>
      </c>
      <c r="F17" s="25">
        <f t="shared" si="0"/>
        <v>1.7571428571428571</v>
      </c>
    </row>
    <row r="18" spans="1:6" ht="18" customHeight="1" thickTop="1" thickBot="1" x14ac:dyDescent="0.35">
      <c r="A18" s="26" t="s">
        <v>3</v>
      </c>
      <c r="B18" s="22">
        <f t="shared" si="1"/>
        <v>2023</v>
      </c>
      <c r="C18" s="20">
        <v>7</v>
      </c>
      <c r="D18" s="23">
        <f>_xlfn.FORECAST.LINEAR(B18,D12:D17,B12:B17)</f>
        <v>484666.66666667163</v>
      </c>
      <c r="E18" s="24">
        <f t="shared" si="2"/>
        <v>1474666.6666666716</v>
      </c>
      <c r="F18" s="25">
        <f t="shared" si="0"/>
        <v>1.6923809523809594</v>
      </c>
    </row>
    <row r="19" spans="1:6" ht="18" customHeight="1" thickTop="1" thickBot="1" x14ac:dyDescent="0.35">
      <c r="A19" s="26" t="s">
        <v>3</v>
      </c>
      <c r="B19" s="22">
        <f t="shared" si="1"/>
        <v>2024</v>
      </c>
      <c r="C19" s="20">
        <v>8</v>
      </c>
      <c r="D19" s="23">
        <f>_xlfn.FORECAST.LINEAR(B19,D12:D18,B12:B18)</f>
        <v>542666.66666667163</v>
      </c>
      <c r="E19" s="24">
        <f t="shared" si="2"/>
        <v>2017333.3333333433</v>
      </c>
      <c r="F19" s="25">
        <f t="shared" si="0"/>
        <v>1.7752380952381024</v>
      </c>
    </row>
    <row r="20" spans="1:6" ht="18" customHeight="1" thickTop="1" thickBot="1" x14ac:dyDescent="0.35">
      <c r="A20" s="26" t="s">
        <v>3</v>
      </c>
      <c r="B20" s="22">
        <f t="shared" si="1"/>
        <v>2025</v>
      </c>
      <c r="C20" s="20">
        <v>9</v>
      </c>
      <c r="D20" s="23">
        <f>_xlfn.FORECAST.LINEAR(B20,D12:D19,B12:B19)</f>
        <v>600666.66666667163</v>
      </c>
      <c r="E20" s="24">
        <f t="shared" si="2"/>
        <v>2618000.0000000149</v>
      </c>
      <c r="F20" s="25">
        <f t="shared" si="0"/>
        <v>1.8580952380952451</v>
      </c>
    </row>
    <row r="21" spans="1:6" ht="18" customHeight="1" thickTop="1" thickBot="1" x14ac:dyDescent="0.35">
      <c r="A21" s="26" t="s">
        <v>3</v>
      </c>
      <c r="B21" s="22">
        <f t="shared" si="1"/>
        <v>2026</v>
      </c>
      <c r="C21" s="20">
        <v>10</v>
      </c>
      <c r="D21" s="23">
        <f>_xlfn.FORECAST.LINEAR(B21,D12:D20,B12:B20)</f>
        <v>658666.66666667163</v>
      </c>
      <c r="E21" s="24">
        <f t="shared" si="2"/>
        <v>3276666.6666666865</v>
      </c>
      <c r="F21" s="25">
        <f t="shared" si="0"/>
        <v>1.9409523809523881</v>
      </c>
    </row>
    <row r="22" spans="1:6" ht="15" thickTop="1" x14ac:dyDescent="0.3">
      <c r="B22" s="58"/>
      <c r="C22" s="20"/>
      <c r="D22" s="23" t="str">
        <f ca="1">_xlfn.FORMULATEXT(D21)</f>
        <v>=PRONOSTICO.LINEAL(B21,D12:D20,B12:B20)</v>
      </c>
      <c r="E22" s="24"/>
      <c r="F22" s="59"/>
    </row>
    <row r="23" spans="1:6" ht="17.399999999999999" x14ac:dyDescent="0.35">
      <c r="A23" s="3" t="s">
        <v>5</v>
      </c>
      <c r="B23" s="15">
        <f>ABS(E14)/D15+C14</f>
        <v>3.36</v>
      </c>
      <c r="C23" s="17" t="s">
        <v>6</v>
      </c>
    </row>
    <row r="24" spans="1:6" x14ac:dyDescent="0.3">
      <c r="B24" s="16">
        <f>INT(B23)</f>
        <v>3</v>
      </c>
      <c r="C24" s="17" t="s">
        <v>7</v>
      </c>
      <c r="D24" s="4" t="str">
        <f ca="1">_xlfn.FORMULATEXT(B24)</f>
        <v>=ENTERO(B23)</v>
      </c>
    </row>
    <row r="25" spans="1:6" x14ac:dyDescent="0.3">
      <c r="B25" s="16">
        <f>INT((FIXED(B23,2)-B24)*12)</f>
        <v>4</v>
      </c>
      <c r="C25" s="17" t="s">
        <v>8</v>
      </c>
      <c r="D25" s="4" t="str">
        <f t="shared" ref="D25:D26" ca="1" si="3">_xlfn.FORMULATEXT(B25)</f>
        <v>=ENTERO((DECIMAL(B23,2)-B24)*12)</v>
      </c>
    </row>
    <row r="26" spans="1:6" x14ac:dyDescent="0.3">
      <c r="B26" s="16">
        <f>INT(((B23-B24)*12-B25)*30)</f>
        <v>9</v>
      </c>
      <c r="C26" s="17" t="s">
        <v>9</v>
      </c>
      <c r="D26" s="4" t="str">
        <f t="shared" ca="1" si="3"/>
        <v>=ENTERO(((B23-B24)*12-B25)*30)</v>
      </c>
    </row>
    <row r="27" spans="1:6" ht="17.399999999999999" x14ac:dyDescent="0.35">
      <c r="A27" s="3" t="s">
        <v>11</v>
      </c>
      <c r="B27" s="12" t="str">
        <f>"TIEMPO DE RECUPERACIÓN DE LA INVERSIÓN EN "&amp;B24&amp;" "&amp;C24&amp;" "&amp;B25&amp;" "&amp;C25&amp;" "&amp;B26&amp;" "&amp;C26</f>
        <v>TIEMPO DE RECUPERACIÓN DE LA INVERSIÓN EN 3 Años 4 Meses 9 Días</v>
      </c>
      <c r="C27" s="13"/>
      <c r="D27" s="13"/>
      <c r="E27" s="13"/>
      <c r="F27" s="14"/>
    </row>
    <row r="29" spans="1:6" ht="34.799999999999997" x14ac:dyDescent="0.35">
      <c r="A29" s="3" t="s">
        <v>12</v>
      </c>
      <c r="B29" s="6">
        <f>(SUM(D12:D21)+D11)/-D11</f>
        <v>4.6809523809524096</v>
      </c>
    </row>
    <row r="31" spans="1:6" x14ac:dyDescent="0.3">
      <c r="B31" s="1"/>
    </row>
    <row r="32" spans="1:6" x14ac:dyDescent="0.3">
      <c r="B32" s="57"/>
      <c r="C32" s="57"/>
      <c r="D32" s="57"/>
      <c r="E32" s="57"/>
      <c r="F32" s="57"/>
    </row>
    <row r="33" spans="2:6" x14ac:dyDescent="0.3">
      <c r="B33" s="57"/>
      <c r="C33" s="57"/>
      <c r="D33" s="57"/>
      <c r="E33" s="57"/>
      <c r="F33" s="57"/>
    </row>
    <row r="34" spans="2:6" x14ac:dyDescent="0.3">
      <c r="B34" s="57"/>
      <c r="C34" s="57"/>
      <c r="D34" s="57"/>
      <c r="E34" s="57"/>
      <c r="F34" s="57"/>
    </row>
  </sheetData>
  <mergeCells count="2">
    <mergeCell ref="B4:F6"/>
    <mergeCell ref="B3:F3"/>
  </mergeCells>
  <conditionalFormatting sqref="E11:E21">
    <cfRule type="dataBar" priority="1">
      <dataBar>
        <cfvo type="min"/>
        <cfvo type="max"/>
        <color rgb="FF008AEF"/>
      </dataBar>
      <extLst>
        <ext xmlns:x14="http://schemas.microsoft.com/office/spreadsheetml/2009/9/main" uri="{B025F937-C7B1-47D3-B67F-A62EFF666E3E}">
          <x14:id>{04288413-5A05-4C45-85FA-90CABCECAE2C}</x14:id>
        </ext>
      </extLst>
    </cfRule>
  </conditionalFormatting>
  <pageMargins left="0.25" right="0.25" top="0.75" bottom="0.75" header="0.3" footer="0.3"/>
  <pageSetup scale="80" orientation="portrait" horizontalDpi="4294967293" verticalDpi="4294967293"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4288413-5A05-4C45-85FA-90CABCECAE2C}">
            <x14:dataBar minLength="0" maxLength="100" gradient="0">
              <x14:cfvo type="autoMin"/>
              <x14:cfvo type="autoMax"/>
              <x14:negativeFillColor rgb="FFFF0000"/>
              <x14:axisColor rgb="FF000000"/>
            </x14:dataBar>
          </x14:cfRule>
          <xm:sqref>E11:E21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F34"/>
  <sheetViews>
    <sheetView topLeftCell="A2" workbookViewId="0">
      <selection activeCell="D3" sqref="D3"/>
    </sheetView>
  </sheetViews>
  <sheetFormatPr baseColWidth="10" defaultRowHeight="14.4" x14ac:dyDescent="0.3"/>
  <cols>
    <col min="1" max="1" width="20.109375" customWidth="1"/>
    <col min="2" max="2" width="42.33203125" customWidth="1"/>
    <col min="3" max="3" width="25.33203125" bestFit="1" customWidth="1"/>
    <col min="4" max="4" width="25.88671875" customWidth="1"/>
    <col min="5" max="5" width="26.6640625" customWidth="1"/>
    <col min="6" max="6" width="12" customWidth="1"/>
    <col min="7" max="7" width="27.6640625" bestFit="1" customWidth="1"/>
  </cols>
  <sheetData>
    <row r="1" spans="2:6" ht="21" x14ac:dyDescent="0.4">
      <c r="B1" s="66" t="s">
        <v>13</v>
      </c>
      <c r="C1" s="66"/>
      <c r="D1" s="66"/>
      <c r="E1" s="66"/>
      <c r="F1" s="66"/>
    </row>
    <row r="3" spans="2:6" x14ac:dyDescent="0.3">
      <c r="B3" s="5" t="s">
        <v>64</v>
      </c>
      <c r="C3" s="41" t="s">
        <v>117</v>
      </c>
    </row>
    <row r="4" spans="2:6" x14ac:dyDescent="0.3">
      <c r="B4" s="5" t="s">
        <v>65</v>
      </c>
      <c r="C4" s="41" t="s">
        <v>16</v>
      </c>
    </row>
    <row r="6" spans="2:6" x14ac:dyDescent="0.3">
      <c r="B6" s="1" t="s">
        <v>100</v>
      </c>
      <c r="C6" s="27" t="s">
        <v>23</v>
      </c>
      <c r="D6" s="27" t="s">
        <v>24</v>
      </c>
      <c r="E6" s="27" t="s">
        <v>25</v>
      </c>
      <c r="F6" s="28" t="s">
        <v>109</v>
      </c>
    </row>
    <row r="7" spans="2:6" x14ac:dyDescent="0.3">
      <c r="B7" t="s">
        <v>101</v>
      </c>
      <c r="C7" s="32" t="s">
        <v>18</v>
      </c>
      <c r="D7">
        <v>4</v>
      </c>
      <c r="E7">
        <v>1</v>
      </c>
      <c r="F7">
        <f>Tabla23[[#This Row],[Cantidad]]*Tabla23[[#This Row],[Valor]]</f>
        <v>4</v>
      </c>
    </row>
    <row r="8" spans="2:6" x14ac:dyDescent="0.3">
      <c r="B8" t="s">
        <v>96</v>
      </c>
      <c r="C8" s="32" t="s">
        <v>18</v>
      </c>
      <c r="D8">
        <v>4</v>
      </c>
      <c r="E8">
        <v>1</v>
      </c>
      <c r="F8">
        <f>Tabla23[[#This Row],[Cantidad]]*Tabla23[[#This Row],[Valor]]</f>
        <v>4</v>
      </c>
    </row>
    <row r="9" spans="2:6" x14ac:dyDescent="0.3">
      <c r="B9" t="s">
        <v>97</v>
      </c>
      <c r="C9" s="32" t="s">
        <v>20</v>
      </c>
      <c r="D9">
        <v>4</v>
      </c>
      <c r="E9">
        <v>1</v>
      </c>
      <c r="F9">
        <f>Tabla23[[#This Row],[Cantidad]]*Tabla23[[#This Row],[Valor]]</f>
        <v>4</v>
      </c>
    </row>
    <row r="10" spans="2:6" x14ac:dyDescent="0.3">
      <c r="B10" t="s">
        <v>102</v>
      </c>
      <c r="C10" s="32" t="s">
        <v>18</v>
      </c>
      <c r="D10">
        <v>4</v>
      </c>
      <c r="E10">
        <v>1</v>
      </c>
      <c r="F10">
        <f>Tabla23[[#This Row],[Cantidad]]*Tabla23[[#This Row],[Valor]]</f>
        <v>4</v>
      </c>
    </row>
    <row r="11" spans="2:6" x14ac:dyDescent="0.3">
      <c r="B11" t="s">
        <v>98</v>
      </c>
      <c r="C11" s="32" t="s">
        <v>18</v>
      </c>
      <c r="D11">
        <v>4</v>
      </c>
      <c r="E11">
        <v>1</v>
      </c>
      <c r="F11">
        <f>Tabla23[[#This Row],[Cantidad]]*Tabla23[[#This Row],[Valor]]</f>
        <v>4</v>
      </c>
    </row>
    <row r="12" spans="2:6" x14ac:dyDescent="0.3">
      <c r="B12" t="s">
        <v>99</v>
      </c>
      <c r="C12" s="32" t="s">
        <v>19</v>
      </c>
      <c r="D12">
        <v>5</v>
      </c>
      <c r="E12">
        <v>1</v>
      </c>
      <c r="F12">
        <f>Tabla23[[#This Row],[Cantidad]]*Tabla23[[#This Row],[Valor]]</f>
        <v>5</v>
      </c>
    </row>
    <row r="13" spans="2:6" x14ac:dyDescent="0.3">
      <c r="B13" t="s">
        <v>103</v>
      </c>
      <c r="C13" s="32" t="s">
        <v>19</v>
      </c>
      <c r="D13">
        <v>5</v>
      </c>
      <c r="E13">
        <v>1</v>
      </c>
      <c r="F13">
        <f>Tabla23[[#This Row],[Cantidad]]*Tabla23[[#This Row],[Valor]]</f>
        <v>5</v>
      </c>
    </row>
    <row r="14" spans="2:6" x14ac:dyDescent="0.3">
      <c r="B14" t="s">
        <v>104</v>
      </c>
      <c r="C14" s="32" t="s">
        <v>21</v>
      </c>
      <c r="D14">
        <v>10</v>
      </c>
      <c r="E14">
        <v>6</v>
      </c>
      <c r="F14">
        <f>Tabla23[[#This Row],[Cantidad]]*Tabla23[[#This Row],[Valor]]</f>
        <v>60</v>
      </c>
    </row>
    <row r="15" spans="2:6" x14ac:dyDescent="0.3">
      <c r="B15" t="s">
        <v>105</v>
      </c>
      <c r="C15" s="32" t="s">
        <v>19</v>
      </c>
      <c r="D15">
        <v>5</v>
      </c>
      <c r="E15">
        <v>1</v>
      </c>
      <c r="F15">
        <f>Tabla23[[#This Row],[Cantidad]]*Tabla23[[#This Row],[Valor]]</f>
        <v>5</v>
      </c>
    </row>
    <row r="16" spans="2:6" x14ac:dyDescent="0.3">
      <c r="B16" t="s">
        <v>106</v>
      </c>
      <c r="C16" s="32" t="s">
        <v>19</v>
      </c>
      <c r="D16">
        <v>5</v>
      </c>
      <c r="E16">
        <v>1</v>
      </c>
      <c r="F16">
        <f>Tabla23[[#This Row],[Cantidad]]*Tabla23[[#This Row],[Valor]]</f>
        <v>5</v>
      </c>
    </row>
    <row r="17" spans="2:6" x14ac:dyDescent="0.3">
      <c r="B17" t="s">
        <v>107</v>
      </c>
      <c r="C17" s="32" t="s">
        <v>19</v>
      </c>
      <c r="D17">
        <v>5</v>
      </c>
      <c r="E17">
        <v>1</v>
      </c>
      <c r="F17">
        <f>Tabla23[[#This Row],[Cantidad]]*Tabla23[[#This Row],[Valor]]</f>
        <v>5</v>
      </c>
    </row>
    <row r="18" spans="2:6" x14ac:dyDescent="0.3">
      <c r="B18" t="s">
        <v>108</v>
      </c>
      <c r="C18" s="32" t="s">
        <v>19</v>
      </c>
      <c r="D18">
        <v>5</v>
      </c>
      <c r="E18">
        <v>1</v>
      </c>
      <c r="F18">
        <f>Tabla23[[#This Row],[Cantidad]]*Tabla23[[#This Row],[Valor]]</f>
        <v>5</v>
      </c>
    </row>
    <row r="19" spans="2:6" x14ac:dyDescent="0.3">
      <c r="F19">
        <f>Tabla23[[#This Row],[Cantidad]]*Tabla23[[#This Row],[Valor]]</f>
        <v>0</v>
      </c>
    </row>
    <row r="20" spans="2:6" x14ac:dyDescent="0.3">
      <c r="F20">
        <f>Tabla23[[#This Row],[Cantidad]]*Tabla23[[#This Row],[Valor]]</f>
        <v>0</v>
      </c>
    </row>
    <row r="21" spans="2:6" ht="15.6" x14ac:dyDescent="0.3">
      <c r="B21" s="29" t="s">
        <v>26</v>
      </c>
      <c r="C21" s="29"/>
      <c r="D21" s="29"/>
      <c r="E21" s="29"/>
      <c r="F21" s="29">
        <f>SUBTOTAL(9,F7:F19)</f>
        <v>110</v>
      </c>
    </row>
    <row r="22" spans="2:6" x14ac:dyDescent="0.3">
      <c r="B22" s="1"/>
      <c r="C22" s="1"/>
      <c r="D22" s="1"/>
      <c r="E22" s="1"/>
      <c r="F22" s="1"/>
    </row>
    <row r="23" spans="2:6" x14ac:dyDescent="0.3">
      <c r="B23" s="1" t="s">
        <v>63</v>
      </c>
    </row>
    <row r="24" spans="2:6" x14ac:dyDescent="0.3">
      <c r="B24" t="s">
        <v>14</v>
      </c>
      <c r="C24" t="s">
        <v>15</v>
      </c>
      <c r="D24" t="s">
        <v>16</v>
      </c>
      <c r="E24" t="s">
        <v>17</v>
      </c>
    </row>
    <row r="25" spans="2:6" x14ac:dyDescent="0.3">
      <c r="B25" t="s">
        <v>18</v>
      </c>
      <c r="C25" s="2">
        <v>3</v>
      </c>
      <c r="D25" s="2">
        <v>4</v>
      </c>
      <c r="E25" s="2">
        <v>6</v>
      </c>
    </row>
    <row r="26" spans="2:6" x14ac:dyDescent="0.3">
      <c r="B26" t="s">
        <v>19</v>
      </c>
      <c r="C26" s="2">
        <v>4</v>
      </c>
      <c r="D26" s="2">
        <v>5</v>
      </c>
      <c r="E26" s="2">
        <v>7</v>
      </c>
    </row>
    <row r="27" spans="2:6" x14ac:dyDescent="0.3">
      <c r="B27" t="s">
        <v>20</v>
      </c>
      <c r="C27" s="2">
        <v>3</v>
      </c>
      <c r="D27" s="2">
        <v>4</v>
      </c>
      <c r="E27" s="2">
        <v>6</v>
      </c>
    </row>
    <row r="28" spans="2:6" x14ac:dyDescent="0.3">
      <c r="B28" t="s">
        <v>21</v>
      </c>
      <c r="C28" s="2">
        <v>7</v>
      </c>
      <c r="D28" s="2">
        <v>10</v>
      </c>
      <c r="E28" s="2">
        <v>15</v>
      </c>
    </row>
    <row r="29" spans="2:6" x14ac:dyDescent="0.3">
      <c r="B29" t="s">
        <v>22</v>
      </c>
      <c r="C29" s="2">
        <v>5</v>
      </c>
      <c r="D29" s="2">
        <v>7</v>
      </c>
      <c r="E29" s="2">
        <v>10</v>
      </c>
    </row>
    <row r="31" spans="2:6" x14ac:dyDescent="0.3">
      <c r="B31" s="1"/>
    </row>
    <row r="32" spans="2:6" x14ac:dyDescent="0.3">
      <c r="B32" s="57"/>
      <c r="C32" s="57"/>
      <c r="D32" s="57"/>
      <c r="E32" s="57"/>
      <c r="F32" s="57"/>
    </row>
    <row r="33" spans="2:6" x14ac:dyDescent="0.3">
      <c r="B33" s="57"/>
      <c r="C33" s="57"/>
      <c r="D33" s="57"/>
      <c r="E33" s="57"/>
      <c r="F33" s="57"/>
    </row>
    <row r="34" spans="2:6" x14ac:dyDescent="0.3">
      <c r="B34" s="57"/>
      <c r="C34" s="57"/>
      <c r="D34" s="57"/>
      <c r="E34" s="57"/>
      <c r="F34" s="57"/>
    </row>
  </sheetData>
  <mergeCells count="1">
    <mergeCell ref="B1:F1"/>
  </mergeCells>
  <dataValidations count="2">
    <dataValidation type="list" allowBlank="1" showInputMessage="1" showErrorMessage="1" sqref="C7:C21" xr:uid="{00000000-0002-0000-0400-000000000000}">
      <formula1>$B$25:$B$29</formula1>
    </dataValidation>
    <dataValidation type="list" allowBlank="1" showInputMessage="1" showErrorMessage="1" sqref="C4" xr:uid="{00000000-0002-0000-0400-000001000000}">
      <formula1>$C$24:$E$24</formula1>
    </dataValidation>
  </dataValidations>
  <pageMargins left="0.7" right="0.7" top="0.75" bottom="0.75" header="0.3" footer="0.3"/>
  <pageSetup orientation="portrait" horizontalDpi="4294967293" verticalDpi="4294967293"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G30"/>
  <sheetViews>
    <sheetView workbookViewId="0">
      <selection activeCell="D22" sqref="D22"/>
    </sheetView>
  </sheetViews>
  <sheetFormatPr baseColWidth="10" defaultRowHeight="14.4" x14ac:dyDescent="0.3"/>
  <cols>
    <col min="1" max="1" width="10.88671875" customWidth="1"/>
    <col min="2" max="2" width="42.33203125" customWidth="1"/>
    <col min="3" max="3" width="30.33203125" customWidth="1"/>
    <col min="4" max="4" width="20.33203125" customWidth="1"/>
    <col min="5" max="5" width="7.44140625" customWidth="1"/>
    <col min="6" max="6" width="2" bestFit="1" customWidth="1"/>
    <col min="7" max="7" width="27.6640625" bestFit="1" customWidth="1"/>
  </cols>
  <sheetData>
    <row r="1" spans="2:7" ht="21" x14ac:dyDescent="0.4">
      <c r="B1" s="66" t="s">
        <v>27</v>
      </c>
      <c r="C1" s="66"/>
      <c r="D1" s="66"/>
      <c r="E1" s="66"/>
    </row>
    <row r="3" spans="2:7" x14ac:dyDescent="0.3">
      <c r="B3" s="1" t="s">
        <v>27</v>
      </c>
      <c r="C3" s="1" t="s">
        <v>70</v>
      </c>
      <c r="D3" s="1" t="s">
        <v>68</v>
      </c>
    </row>
    <row r="4" spans="2:7" x14ac:dyDescent="0.3">
      <c r="B4" t="s">
        <v>28</v>
      </c>
      <c r="C4" s="32" t="s">
        <v>46</v>
      </c>
      <c r="D4">
        <v>4</v>
      </c>
    </row>
    <row r="5" spans="2:7" x14ac:dyDescent="0.3">
      <c r="B5" t="s">
        <v>29</v>
      </c>
      <c r="C5" s="32" t="s">
        <v>46</v>
      </c>
      <c r="D5">
        <v>4</v>
      </c>
    </row>
    <row r="6" spans="2:7" x14ac:dyDescent="0.3">
      <c r="B6" t="s">
        <v>30</v>
      </c>
      <c r="C6" s="32" t="s">
        <v>43</v>
      </c>
      <c r="D6">
        <v>1</v>
      </c>
    </row>
    <row r="7" spans="2:7" x14ac:dyDescent="0.3">
      <c r="B7" t="s">
        <v>31</v>
      </c>
      <c r="C7" s="32" t="s">
        <v>43</v>
      </c>
      <c r="D7">
        <v>1</v>
      </c>
      <c r="F7" s="1" t="s">
        <v>69</v>
      </c>
    </row>
    <row r="8" spans="2:7" x14ac:dyDescent="0.3">
      <c r="B8" t="s">
        <v>32</v>
      </c>
      <c r="C8" s="32" t="s">
        <v>45</v>
      </c>
      <c r="D8">
        <v>3</v>
      </c>
      <c r="F8" s="7">
        <v>0</v>
      </c>
      <c r="G8" t="s">
        <v>42</v>
      </c>
    </row>
    <row r="9" spans="2:7" x14ac:dyDescent="0.3">
      <c r="B9" t="s">
        <v>33</v>
      </c>
      <c r="C9" s="32" t="s">
        <v>47</v>
      </c>
      <c r="D9">
        <v>5</v>
      </c>
      <c r="F9" s="7">
        <v>1</v>
      </c>
      <c r="G9" t="s">
        <v>43</v>
      </c>
    </row>
    <row r="10" spans="2:7" x14ac:dyDescent="0.3">
      <c r="B10" t="s">
        <v>34</v>
      </c>
      <c r="C10" s="32" t="s">
        <v>44</v>
      </c>
      <c r="D10">
        <v>2</v>
      </c>
      <c r="F10" s="7">
        <v>2</v>
      </c>
      <c r="G10" t="s">
        <v>44</v>
      </c>
    </row>
    <row r="11" spans="2:7" x14ac:dyDescent="0.3">
      <c r="B11" t="s">
        <v>35</v>
      </c>
      <c r="C11" s="32" t="s">
        <v>45</v>
      </c>
      <c r="D11">
        <v>3</v>
      </c>
      <c r="F11" s="7">
        <v>3</v>
      </c>
      <c r="G11" t="s">
        <v>45</v>
      </c>
    </row>
    <row r="12" spans="2:7" x14ac:dyDescent="0.3">
      <c r="B12" t="s">
        <v>36</v>
      </c>
      <c r="C12" s="32" t="s">
        <v>43</v>
      </c>
      <c r="D12">
        <v>1</v>
      </c>
      <c r="F12" s="7">
        <v>4</v>
      </c>
      <c r="G12" t="s">
        <v>46</v>
      </c>
    </row>
    <row r="13" spans="2:7" x14ac:dyDescent="0.3">
      <c r="B13" t="s">
        <v>37</v>
      </c>
      <c r="C13" s="32" t="s">
        <v>43</v>
      </c>
      <c r="D13">
        <v>1</v>
      </c>
      <c r="F13" s="7">
        <v>5</v>
      </c>
      <c r="G13" t="s">
        <v>47</v>
      </c>
    </row>
    <row r="14" spans="2:7" x14ac:dyDescent="0.3">
      <c r="B14" t="s">
        <v>38</v>
      </c>
      <c r="C14" s="32" t="s">
        <v>42</v>
      </c>
      <c r="D14">
        <v>0</v>
      </c>
    </row>
    <row r="15" spans="2:7" x14ac:dyDescent="0.3">
      <c r="B15" t="s">
        <v>39</v>
      </c>
      <c r="C15" s="32" t="s">
        <v>43</v>
      </c>
      <c r="D15">
        <v>1</v>
      </c>
    </row>
    <row r="16" spans="2:7" x14ac:dyDescent="0.3">
      <c r="B16" t="s">
        <v>40</v>
      </c>
      <c r="C16" s="32" t="s">
        <v>44</v>
      </c>
      <c r="D16">
        <v>2</v>
      </c>
    </row>
    <row r="17" spans="1:6" x14ac:dyDescent="0.3">
      <c r="B17" t="s">
        <v>41</v>
      </c>
      <c r="C17" s="32" t="s">
        <v>46</v>
      </c>
      <c r="D17">
        <v>4</v>
      </c>
    </row>
    <row r="18" spans="1:6" x14ac:dyDescent="0.3">
      <c r="C18" s="31" t="s">
        <v>27</v>
      </c>
      <c r="D18" s="31">
        <f>SUM(D4:D17)</f>
        <v>32</v>
      </c>
    </row>
    <row r="20" spans="1:6" ht="15" thickBot="1" x14ac:dyDescent="0.35">
      <c r="A20" s="26" t="s">
        <v>71</v>
      </c>
      <c r="B20" s="34" t="s">
        <v>48</v>
      </c>
    </row>
    <row r="21" spans="1:6" ht="15" thickTop="1" x14ac:dyDescent="0.3">
      <c r="B21" t="s">
        <v>49</v>
      </c>
    </row>
    <row r="22" spans="1:6" x14ac:dyDescent="0.3">
      <c r="B22" t="s">
        <v>50</v>
      </c>
      <c r="C22" s="36">
        <f>PFSA!F21</f>
        <v>110</v>
      </c>
    </row>
    <row r="23" spans="1:6" x14ac:dyDescent="0.3">
      <c r="B23" t="s">
        <v>51</v>
      </c>
      <c r="C23" s="37">
        <f>D18</f>
        <v>32</v>
      </c>
    </row>
    <row r="24" spans="1:6" x14ac:dyDescent="0.3">
      <c r="B24" s="8" t="s">
        <v>52</v>
      </c>
    </row>
    <row r="25" spans="1:6" x14ac:dyDescent="0.3">
      <c r="B25" s="35" t="s">
        <v>72</v>
      </c>
      <c r="C25" s="35">
        <f>C22*(0.65+(0.01*C23))</f>
        <v>106.7</v>
      </c>
      <c r="D25" t="str">
        <f ca="1">_xlfn.FORMULATEXT(C25)</f>
        <v>=C22*(0.65+(0.01*C23))</v>
      </c>
    </row>
    <row r="27" spans="1:6" x14ac:dyDescent="0.3">
      <c r="B27" s="1"/>
    </row>
    <row r="28" spans="1:6" x14ac:dyDescent="0.3">
      <c r="B28" s="57"/>
      <c r="C28" s="57"/>
      <c r="D28" s="57"/>
      <c r="E28" s="57"/>
      <c r="F28" s="57"/>
    </row>
    <row r="29" spans="1:6" x14ac:dyDescent="0.3">
      <c r="B29" s="57"/>
      <c r="C29" s="57"/>
      <c r="D29" s="57"/>
      <c r="E29" s="57"/>
      <c r="F29" s="57"/>
    </row>
    <row r="30" spans="1:6" x14ac:dyDescent="0.3">
      <c r="B30" s="57"/>
      <c r="C30" s="57"/>
      <c r="D30" s="57"/>
      <c r="E30" s="57"/>
      <c r="F30" s="57"/>
    </row>
  </sheetData>
  <mergeCells count="1">
    <mergeCell ref="B1:E1"/>
  </mergeCells>
  <dataValidations count="1">
    <dataValidation type="list" allowBlank="1" showInputMessage="1" showErrorMessage="1" sqref="C4:C17" xr:uid="{00000000-0002-0000-0500-000000000000}">
      <formula1>$G$8:$G$13</formula1>
    </dataValidation>
  </dataValidations>
  <pageMargins left="0.7" right="0.7" top="0.75" bottom="0.75" header="0.3" footer="0.3"/>
  <pageSetup orientation="portrait" horizontalDpi="4294967293" verticalDpi="4294967293"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F31"/>
  <sheetViews>
    <sheetView workbookViewId="0">
      <selection activeCell="C14" sqref="C14"/>
    </sheetView>
  </sheetViews>
  <sheetFormatPr baseColWidth="10" defaultRowHeight="14.4" x14ac:dyDescent="0.3"/>
  <cols>
    <col min="1" max="1" width="9.44140625" customWidth="1"/>
    <col min="2" max="2" width="42.33203125" customWidth="1"/>
    <col min="3" max="3" width="23.109375" bestFit="1" customWidth="1"/>
    <col min="4" max="4" width="19.88671875" bestFit="1" customWidth="1"/>
    <col min="5" max="5" width="26.6640625" customWidth="1"/>
    <col min="6" max="6" width="15.33203125" customWidth="1"/>
    <col min="7" max="7" width="27.6640625" bestFit="1" customWidth="1"/>
  </cols>
  <sheetData>
    <row r="1" spans="2:5" ht="21" x14ac:dyDescent="0.4">
      <c r="B1" s="66" t="s">
        <v>54</v>
      </c>
      <c r="C1" s="66"/>
      <c r="D1" s="66"/>
      <c r="E1" s="66"/>
    </row>
    <row r="3" spans="2:5" x14ac:dyDescent="0.3">
      <c r="B3" s="5" t="s">
        <v>75</v>
      </c>
      <c r="C3" s="40" t="s">
        <v>58</v>
      </c>
    </row>
    <row r="4" spans="2:5" x14ac:dyDescent="0.3">
      <c r="B4" s="5" t="s">
        <v>76</v>
      </c>
      <c r="C4" s="44">
        <v>4</v>
      </c>
    </row>
    <row r="5" spans="2:5" x14ac:dyDescent="0.3">
      <c r="B5" s="5" t="s">
        <v>77</v>
      </c>
      <c r="C5" s="54">
        <v>8</v>
      </c>
    </row>
    <row r="6" spans="2:5" x14ac:dyDescent="0.3">
      <c r="B6" s="5" t="s">
        <v>78</v>
      </c>
      <c r="C6" s="54">
        <v>20</v>
      </c>
    </row>
    <row r="8" spans="2:5" x14ac:dyDescent="0.3">
      <c r="B8" t="s">
        <v>55</v>
      </c>
      <c r="C8" t="s">
        <v>56</v>
      </c>
      <c r="D8" t="s">
        <v>57</v>
      </c>
    </row>
    <row r="9" spans="2:5" x14ac:dyDescent="0.3">
      <c r="B9" t="s">
        <v>114</v>
      </c>
      <c r="C9">
        <v>25</v>
      </c>
      <c r="D9">
        <v>300</v>
      </c>
    </row>
    <row r="10" spans="2:5" x14ac:dyDescent="0.3">
      <c r="B10" t="s">
        <v>115</v>
      </c>
      <c r="C10">
        <v>15</v>
      </c>
      <c r="D10">
        <v>150</v>
      </c>
    </row>
    <row r="11" spans="2:5" x14ac:dyDescent="0.3">
      <c r="B11" t="s">
        <v>58</v>
      </c>
      <c r="C11">
        <v>8</v>
      </c>
      <c r="D11">
        <v>20</v>
      </c>
    </row>
    <row r="13" spans="2:5" x14ac:dyDescent="0.3">
      <c r="B13" s="1" t="s">
        <v>59</v>
      </c>
    </row>
    <row r="14" spans="2:5" x14ac:dyDescent="0.3">
      <c r="B14" s="5" t="s">
        <v>53</v>
      </c>
      <c r="C14" s="39">
        <f>'Factor de ajuste (PFA)'!C25</f>
        <v>106.7</v>
      </c>
      <c r="D14" t="str">
        <f ca="1">_xlfn.FORMULATEXT(C14)</f>
        <v>='Factor de ajuste (PFA)'!C25</v>
      </c>
    </row>
    <row r="15" spans="2:5" x14ac:dyDescent="0.3">
      <c r="B15" s="38" t="s">
        <v>73</v>
      </c>
    </row>
    <row r="16" spans="2:5" x14ac:dyDescent="0.3">
      <c r="B16" s="5" t="s">
        <v>74</v>
      </c>
      <c r="C16" s="33">
        <f>C5*C14</f>
        <v>853.6</v>
      </c>
      <c r="D16" t="str">
        <f ca="1">_xlfn.FORMULATEXT(C16)</f>
        <v>=C5*C14</v>
      </c>
    </row>
    <row r="17" spans="2:6" x14ac:dyDescent="0.3">
      <c r="B17" s="38" t="s">
        <v>81</v>
      </c>
    </row>
    <row r="18" spans="2:6" x14ac:dyDescent="0.3">
      <c r="B18" s="5" t="s">
        <v>82</v>
      </c>
      <c r="C18" s="33">
        <f>C16/$C$5</f>
        <v>106.7</v>
      </c>
      <c r="D18" t="str">
        <f ca="1">_xlfn.FORMULATEXT(C18)</f>
        <v>=C16/$C$5</v>
      </c>
    </row>
    <row r="19" spans="2:6" x14ac:dyDescent="0.3">
      <c r="B19" s="38" t="s">
        <v>80</v>
      </c>
    </row>
    <row r="20" spans="2:6" x14ac:dyDescent="0.3">
      <c r="B20" s="5" t="s">
        <v>79</v>
      </c>
      <c r="C20" s="33">
        <f>C18/C6</f>
        <v>5.335</v>
      </c>
      <c r="D20" t="str">
        <f ca="1">_xlfn.FORMULATEXT(C20)</f>
        <v>=C18/C6</v>
      </c>
    </row>
    <row r="21" spans="2:6" x14ac:dyDescent="0.3">
      <c r="B21" s="38" t="s">
        <v>80</v>
      </c>
    </row>
    <row r="22" spans="2:6" x14ac:dyDescent="0.3">
      <c r="B22" s="5" t="s">
        <v>83</v>
      </c>
      <c r="C22" s="33">
        <f>C5*C20/C4</f>
        <v>10.67</v>
      </c>
      <c r="D22" t="str">
        <f ca="1">_xlfn.FORMULATEXT(C22)</f>
        <v>=C5*C20/C4</v>
      </c>
    </row>
    <row r="23" spans="2:6" x14ac:dyDescent="0.3">
      <c r="B23" s="38" t="s">
        <v>85</v>
      </c>
    </row>
    <row r="24" spans="2:6" x14ac:dyDescent="0.3">
      <c r="B24" s="5" t="s">
        <v>84</v>
      </c>
      <c r="C24" s="46">
        <f>C16/C5/C4</f>
        <v>26.675000000000001</v>
      </c>
      <c r="D24" t="str">
        <f ca="1">_xlfn.FORMULATEXT(C24)</f>
        <v>=C16/C5/C4</v>
      </c>
    </row>
    <row r="25" spans="2:6" x14ac:dyDescent="0.3">
      <c r="B25" s="38" t="s">
        <v>86</v>
      </c>
    </row>
    <row r="26" spans="2:6" x14ac:dyDescent="0.3">
      <c r="B26" s="5" t="s">
        <v>90</v>
      </c>
      <c r="C26" s="45">
        <f>C24/C6</f>
        <v>1.33375</v>
      </c>
      <c r="D26" t="s">
        <v>110</v>
      </c>
    </row>
    <row r="28" spans="2:6" x14ac:dyDescent="0.3">
      <c r="B28" s="1"/>
    </row>
    <row r="29" spans="2:6" x14ac:dyDescent="0.3">
      <c r="B29" s="57"/>
      <c r="C29" s="57"/>
      <c r="D29" s="57"/>
      <c r="E29" s="57"/>
      <c r="F29" s="57"/>
    </row>
    <row r="30" spans="2:6" x14ac:dyDescent="0.3">
      <c r="B30" s="57"/>
      <c r="C30" s="57"/>
      <c r="D30" s="57"/>
      <c r="E30" s="57"/>
      <c r="F30" s="57"/>
    </row>
    <row r="31" spans="2:6" x14ac:dyDescent="0.3">
      <c r="B31" s="57"/>
      <c r="C31" s="57"/>
      <c r="D31" s="57"/>
      <c r="E31" s="57"/>
      <c r="F31" s="57"/>
    </row>
  </sheetData>
  <mergeCells count="1">
    <mergeCell ref="B1:E1"/>
  </mergeCells>
  <dataValidations count="2">
    <dataValidation type="list" allowBlank="1" showInputMessage="1" showErrorMessage="1" sqref="C3" xr:uid="{00000000-0002-0000-0600-000000000000}">
      <formula1>$B$9:$B$11</formula1>
    </dataValidation>
    <dataValidation type="list" allowBlank="1" showInputMessage="1" showErrorMessage="1" sqref="C4" xr:uid="{00000000-0002-0000-0600-000001000000}">
      <formula1>"1,2,3,4"</formula1>
    </dataValidation>
  </dataValidations>
  <pageMargins left="0.7" right="0.7" top="0.75" bottom="0.75" header="0.3" footer="0.3"/>
  <pageSetup orientation="portrait" horizontalDpi="4294967293" verticalDpi="4294967293"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16"/>
  <sheetViews>
    <sheetView workbookViewId="0">
      <selection activeCell="D8" sqref="D8"/>
    </sheetView>
  </sheetViews>
  <sheetFormatPr baseColWidth="10" defaultRowHeight="14.4" x14ac:dyDescent="0.3"/>
  <cols>
    <col min="1" max="1" width="20.109375" customWidth="1"/>
    <col min="2" max="2" width="48.109375" customWidth="1"/>
    <col min="3" max="3" width="23.109375" bestFit="1" customWidth="1"/>
    <col min="4" max="4" width="19.88671875" bestFit="1" customWidth="1"/>
    <col min="5" max="5" width="26.6640625" customWidth="1"/>
    <col min="6" max="6" width="16.5546875" customWidth="1"/>
    <col min="7" max="7" width="8.109375" customWidth="1"/>
  </cols>
  <sheetData>
    <row r="1" spans="1:6" ht="21" x14ac:dyDescent="0.4">
      <c r="B1" s="66" t="s">
        <v>87</v>
      </c>
      <c r="C1" s="66"/>
      <c r="D1" s="66"/>
      <c r="E1" s="66"/>
    </row>
    <row r="3" spans="1:6" ht="15" thickBot="1" x14ac:dyDescent="0.35">
      <c r="A3" s="26" t="s">
        <v>71</v>
      </c>
      <c r="B3" s="47" t="s">
        <v>60</v>
      </c>
    </row>
    <row r="4" spans="1:6" ht="15" thickTop="1" x14ac:dyDescent="0.3"/>
    <row r="5" spans="1:6" x14ac:dyDescent="0.3">
      <c r="B5" s="5" t="s">
        <v>76</v>
      </c>
      <c r="C5" s="44">
        <f>'Estimación de Esfuerzo'!C4</f>
        <v>4</v>
      </c>
    </row>
    <row r="6" spans="1:6" x14ac:dyDescent="0.3">
      <c r="B6" s="5" t="s">
        <v>88</v>
      </c>
      <c r="C6" s="48">
        <f>'Estimación de Esfuerzo'!C26</f>
        <v>1.33375</v>
      </c>
    </row>
    <row r="7" spans="1:6" x14ac:dyDescent="0.3">
      <c r="B7" s="5" t="s">
        <v>89</v>
      </c>
      <c r="C7" s="68">
        <v>35000</v>
      </c>
    </row>
    <row r="8" spans="1:6" x14ac:dyDescent="0.3">
      <c r="B8" s="5" t="s">
        <v>93</v>
      </c>
      <c r="C8" s="68">
        <v>100000</v>
      </c>
    </row>
    <row r="10" spans="1:6" x14ac:dyDescent="0.3">
      <c r="B10" s="5" t="s">
        <v>92</v>
      </c>
      <c r="C10" s="53">
        <f>C5*C6*C7</f>
        <v>186725</v>
      </c>
      <c r="D10" t="str">
        <f ca="1">_xlfn.FORMULATEXT(C10)</f>
        <v>=C5*C6*C7</v>
      </c>
    </row>
    <row r="11" spans="1:6" x14ac:dyDescent="0.3">
      <c r="B11" s="5" t="s">
        <v>91</v>
      </c>
      <c r="C11" s="52">
        <f>C10+C8</f>
        <v>286725</v>
      </c>
      <c r="D11" t="str">
        <f ca="1">_xlfn.FORMULATEXT(C11)</f>
        <v>=C10+C8</v>
      </c>
    </row>
    <row r="13" spans="1:6" x14ac:dyDescent="0.3">
      <c r="B13" s="1"/>
    </row>
    <row r="14" spans="1:6" x14ac:dyDescent="0.3">
      <c r="B14" s="56"/>
      <c r="C14" s="56"/>
      <c r="D14" s="56"/>
      <c r="E14" s="56"/>
      <c r="F14" s="56"/>
    </row>
    <row r="15" spans="1:6" x14ac:dyDescent="0.3">
      <c r="B15" s="56"/>
      <c r="C15" s="56"/>
      <c r="D15" s="56"/>
      <c r="E15" s="56"/>
      <c r="F15" s="56"/>
    </row>
    <row r="16" spans="1:6" x14ac:dyDescent="0.3">
      <c r="B16" s="56"/>
      <c r="C16" s="56"/>
      <c r="D16" s="56"/>
      <c r="E16" s="56"/>
      <c r="F16" s="56"/>
    </row>
  </sheetData>
  <mergeCells count="1">
    <mergeCell ref="B1:E1"/>
  </mergeCells>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I8"/>
  <sheetViews>
    <sheetView tabSelected="1" workbookViewId="0">
      <selection activeCell="A3" sqref="A3:I8"/>
    </sheetView>
  </sheetViews>
  <sheetFormatPr baseColWidth="10" defaultRowHeight="14.4" x14ac:dyDescent="0.3"/>
  <cols>
    <col min="9" max="9" width="17.33203125" customWidth="1"/>
  </cols>
  <sheetData>
    <row r="1" spans="1:9" x14ac:dyDescent="0.3">
      <c r="A1" s="55" t="s">
        <v>116</v>
      </c>
      <c r="B1" s="55"/>
      <c r="C1" s="55"/>
      <c r="D1" s="55"/>
      <c r="E1" s="55"/>
      <c r="F1" s="55"/>
      <c r="G1" s="55"/>
      <c r="H1" s="55"/>
      <c r="I1" s="55"/>
    </row>
    <row r="3" spans="1:9" x14ac:dyDescent="0.3">
      <c r="A3" s="70" t="s">
        <v>119</v>
      </c>
      <c r="B3" s="67"/>
      <c r="C3" s="67"/>
      <c r="D3" s="67"/>
      <c r="E3" s="67"/>
      <c r="F3" s="67"/>
      <c r="G3" s="67"/>
      <c r="H3" s="67"/>
      <c r="I3" s="67"/>
    </row>
    <row r="4" spans="1:9" x14ac:dyDescent="0.3">
      <c r="A4" s="67"/>
      <c r="B4" s="67"/>
      <c r="C4" s="67"/>
      <c r="D4" s="67"/>
      <c r="E4" s="67"/>
      <c r="F4" s="67"/>
      <c r="G4" s="67"/>
      <c r="H4" s="67"/>
      <c r="I4" s="67"/>
    </row>
    <row r="5" spans="1:9" x14ac:dyDescent="0.3">
      <c r="A5" s="67"/>
      <c r="B5" s="67"/>
      <c r="C5" s="67"/>
      <c r="D5" s="67"/>
      <c r="E5" s="67"/>
      <c r="F5" s="67"/>
      <c r="G5" s="67"/>
      <c r="H5" s="67"/>
      <c r="I5" s="67"/>
    </row>
    <row r="6" spans="1:9" x14ac:dyDescent="0.3">
      <c r="A6" s="67"/>
      <c r="B6" s="67"/>
      <c r="C6" s="67"/>
      <c r="D6" s="67"/>
      <c r="E6" s="67"/>
      <c r="F6" s="67"/>
      <c r="G6" s="67"/>
      <c r="H6" s="67"/>
      <c r="I6" s="67"/>
    </row>
    <row r="7" spans="1:9" x14ac:dyDescent="0.3">
      <c r="A7" s="67"/>
      <c r="B7" s="67"/>
      <c r="C7" s="67"/>
      <c r="D7" s="67"/>
      <c r="E7" s="67"/>
      <c r="F7" s="67"/>
      <c r="G7" s="67"/>
      <c r="H7" s="67"/>
      <c r="I7" s="67"/>
    </row>
    <row r="8" spans="1:9" ht="153" customHeight="1" x14ac:dyDescent="0.3">
      <c r="A8" s="67"/>
      <c r="B8" s="67"/>
      <c r="C8" s="67"/>
      <c r="D8" s="67"/>
      <c r="E8" s="67"/>
      <c r="F8" s="67"/>
      <c r="G8" s="67"/>
      <c r="H8" s="67"/>
      <c r="I8" s="67"/>
    </row>
  </sheetData>
  <mergeCells count="1">
    <mergeCell ref="A3: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Portada</vt:lpstr>
      <vt:lpstr>Introducción</vt:lpstr>
      <vt:lpstr>Periodo de recuperación</vt:lpstr>
      <vt:lpstr>PFSA</vt:lpstr>
      <vt:lpstr>Factor de ajuste (PFA)</vt:lpstr>
      <vt:lpstr>Estimación de Esfuerzo</vt:lpstr>
      <vt:lpstr>Presupuesto</vt:lpstr>
      <vt:lpstr>Conclusión</vt:lpstr>
      <vt:lpstr>Alta</vt:lpstr>
      <vt:lpstr>Presupuesto!Alta2</vt:lpstr>
      <vt:lpstr>Alta2</vt:lpstr>
      <vt:lpstr>Baja</vt:lpstr>
      <vt:lpstr>EI</vt:lpstr>
      <vt:lpstr>EIF</vt:lpstr>
      <vt:lpstr>EO</vt:lpstr>
      <vt:lpstr>EQ</vt:lpstr>
      <vt:lpstr>ILF</vt:lpstr>
      <vt:lpstr>IMPACTO</vt:lpstr>
      <vt:lpstr>Media</vt:lpstr>
      <vt:lpstr>Valoresimpacto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 2020</dc:creator>
  <cp:lastModifiedBy>Carolina Mireles</cp:lastModifiedBy>
  <cp:lastPrinted>2024-12-28T05:06:45Z</cp:lastPrinted>
  <dcterms:created xsi:type="dcterms:W3CDTF">2022-04-19T00:08:34Z</dcterms:created>
  <dcterms:modified xsi:type="dcterms:W3CDTF">2026-09-05T06:28:24Z</dcterms:modified>
</cp:coreProperties>
</file>