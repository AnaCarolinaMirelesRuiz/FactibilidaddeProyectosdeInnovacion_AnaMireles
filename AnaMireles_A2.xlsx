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8789d3c8822df101/Documentos/EscuelaIDS/9 periodo/FPI/"/>
    </mc:Choice>
  </mc:AlternateContent>
  <xr:revisionPtr revIDLastSave="0" documentId="8_{C9060D32-D482-4DAF-842B-B72253E5581F}" xr6:coauthVersionLast="47" xr6:coauthVersionMax="47" xr10:uidLastSave="{00000000-0000-0000-0000-000000000000}"/>
  <bookViews>
    <workbookView xWindow="-108" yWindow="-108" windowWidth="23256" windowHeight="12456" xr2:uid="{8E2E8526-B805-4BF5-960C-43FA2E7EB333}"/>
  </bookViews>
  <sheets>
    <sheet name="Portada" sheetId="1" r:id="rId1"/>
    <sheet name="Contexto" sheetId="14" r:id="rId2"/>
    <sheet name="Gestión de cambios y GANNT" sheetId="4" r:id="rId3"/>
    <sheet name="Conclusión" sheetId="9" r:id="rId4"/>
  </sheets>
  <externalReferences>
    <externalReference r:id="rId5"/>
    <externalReference r:id="rId6"/>
  </externalReferences>
  <definedNames>
    <definedName name="Departamento" localSheetId="1">Tabla2[Departamento]</definedName>
    <definedName name="Departamento">Tabla2[Departamento]</definedName>
    <definedName name="Estatus" localSheetId="1">Tabla2[Estatus]</definedName>
    <definedName name="Estatus">Tabla2[Estatus]</definedName>
    <definedName name="Impacto" localSheetId="1">Tabla2[Impacto]</definedName>
    <definedName name="Impacto">Tabla2[Impacto]</definedName>
    <definedName name="Interval">'[1]Office Work Schedule'!#REF!</definedName>
    <definedName name="Prioridad" localSheetId="1">Tabla2[Prioridad]</definedName>
    <definedName name="Prioridad">Tabla2[Prioridad]</definedName>
    <definedName name="Responsable" localSheetId="1">Tabla2[Responsable]</definedName>
    <definedName name="Responsable">Tabla2[Responsable]</definedName>
    <definedName name="Riesgo" localSheetId="1">Tabla2[Riesgo]</definedName>
    <definedName name="Riesgo">Tabla2[Riesgo]</definedName>
    <definedName name="ScheduleStart">'[1]Office Work Schedule'!#REF!</definedName>
    <definedName name="Tipodecambio" localSheetId="1">Tabla2[Tipo de cambio]</definedName>
    <definedName name="Tipodecambio">Tabla2[Tipo de cambio]</definedName>
    <definedName name="Type">'[2]Maintenance Work Order'!#REF!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1" i="4" l="1"/>
  <c r="B5" i="4"/>
  <c r="B6" i="4" s="1"/>
  <c r="M10" i="4"/>
  <c r="M11" i="4" s="1"/>
  <c r="M12" i="4" s="1"/>
  <c r="M13" i="4" s="1"/>
  <c r="M14" i="4" s="1"/>
  <c r="M15" i="4" s="1"/>
  <c r="M16" i="4" s="1"/>
  <c r="M17" i="4" s="1"/>
  <c r="M18" i="4" s="1"/>
  <c r="M19" i="4" s="1"/>
  <c r="M20" i="4" s="1"/>
  <c r="B15" i="4" a="1"/>
  <c r="B16" i="4" a="1"/>
  <c r="B10" i="4" a="1"/>
  <c r="B11" i="4" a="1"/>
  <c r="B12" i="4" a="1"/>
  <c r="B13" i="4" a="1"/>
  <c r="B14" i="4" a="1"/>
  <c r="B17" i="4" a="1"/>
  <c r="B18" i="4" a="1"/>
  <c r="B19" i="4" a="1"/>
  <c r="C10" i="4" l="1"/>
  <c r="D20" i="4" l="1"/>
  <c r="E10" i="4"/>
  <c r="C11" i="4" s="1"/>
  <c r="E11" i="4" s="1"/>
  <c r="C12" i="4" s="1"/>
  <c r="E12" i="4" s="1"/>
  <c r="C13" i="4" s="1"/>
  <c r="E13" i="4" s="1"/>
  <c r="C14" i="4" s="1"/>
  <c r="E14" i="4" s="1"/>
  <c r="C15" i="4" s="1"/>
  <c r="E15" i="4" s="1"/>
  <c r="C16" i="4" s="1"/>
  <c r="E16" i="4" s="1"/>
  <c r="C17" i="4" s="1"/>
  <c r="E17" i="4" s="1"/>
  <c r="C18" i="4" s="1"/>
  <c r="E18" i="4" s="1"/>
  <c r="C19" i="4" s="1"/>
  <c r="E19" i="4" s="1"/>
  <c r="B7" i="4" s="1"/>
  <c r="B8"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<sst xmlns="http://schemas.openxmlformats.org/spreadsheetml/2006/main" count="153" uniqueCount="85">
  <si>
    <t>Cambio solicitado</t>
  </si>
  <si>
    <t>Fecha de solicitud</t>
  </si>
  <si>
    <t>Solicitado por</t>
  </si>
  <si>
    <t>Costo</t>
  </si>
  <si>
    <t>Tipo de cambio</t>
  </si>
  <si>
    <t>Impacto</t>
  </si>
  <si>
    <t>Estatus</t>
  </si>
  <si>
    <t>Prioridad</t>
  </si>
  <si>
    <t>Riesgo</t>
  </si>
  <si>
    <t>DIAGRAMA DE GANTT</t>
  </si>
  <si>
    <t>Sistema</t>
  </si>
  <si>
    <t>Organización</t>
  </si>
  <si>
    <t>Proceso</t>
  </si>
  <si>
    <t>Alto</t>
  </si>
  <si>
    <t>Bajo</t>
  </si>
  <si>
    <t>Medio</t>
  </si>
  <si>
    <t>Activo</t>
  </si>
  <si>
    <t>Espera</t>
  </si>
  <si>
    <t>Finalizado</t>
  </si>
  <si>
    <t>En proceso</t>
  </si>
  <si>
    <t>Alta</t>
  </si>
  <si>
    <t>Media</t>
  </si>
  <si>
    <t>Baja</t>
  </si>
  <si>
    <t>Muy Urgente</t>
  </si>
  <si>
    <t>Sin riesgo</t>
  </si>
  <si>
    <t>Gerencia</t>
  </si>
  <si>
    <t>Comercial</t>
  </si>
  <si>
    <t>Ventas</t>
  </si>
  <si>
    <t>Tecnologías</t>
  </si>
  <si>
    <t>Responsable</t>
  </si>
  <si>
    <t>Departamento</t>
  </si>
  <si>
    <t>Costo total de cambio</t>
  </si>
  <si>
    <t>Muy impactante</t>
  </si>
  <si>
    <t>Conclusión personal</t>
  </si>
  <si>
    <t>Portada</t>
  </si>
  <si>
    <t>Nombre del alumno</t>
  </si>
  <si>
    <t>Institución</t>
  </si>
  <si>
    <t>Fecha:</t>
  </si>
  <si>
    <t>Materia:</t>
  </si>
  <si>
    <t>Actividad:</t>
  </si>
  <si>
    <t>Estandarizar el proceso de solicitud y aprobación de cambios para el desarrollo de la aplicación móvil.</t>
  </si>
  <si>
    <t>Ajustar los requisitos funcionales de la aplicación para incorporar comercio electrónico y pagos en línea.</t>
  </si>
  <si>
    <t>Implementar un sistema de autenticación segura con inicio de sesión mediante correo electrónico y redes sociales.</t>
  </si>
  <si>
    <t>Redefinir los roles y responsabilidades del equipo del proyecto para mejorar la gestión y comunicación interna.</t>
  </si>
  <si>
    <t>Incorporar un módulo de atención al cliente con chat en vivo, FAQ y base de conocimientos.</t>
  </si>
  <si>
    <t>Modificar el diseño de la interfaz de usuario para asegurar una navegación intuitiva y alineada con la identidad de marca.</t>
  </si>
  <si>
    <t>Integrar un programa de lealtad basado en puntos y recompensas dentro de la aplicación.</t>
  </si>
  <si>
    <t>Realizar capacitación al personal en el uso del sistema de gestión de cambios y nuevas funcionalidades de la app.</t>
  </si>
  <si>
    <t>Ajustar el cronograma del proyecto para incluir una fase de pruebas de calidad más robusta antes del lanzamiento.</t>
  </si>
  <si>
    <t>Establecer un proceso formal de documentación y cierre de cambios para asegurar la mejora continua del proyecto.</t>
  </si>
  <si>
    <t>Cambios solicitados por el cliente</t>
  </si>
  <si>
    <t>No.</t>
  </si>
  <si>
    <t>Miguel Torruco</t>
  </si>
  <si>
    <t>Presupuesto gastado</t>
  </si>
  <si>
    <t>PRESUPUESTO ESTIMADO</t>
  </si>
  <si>
    <t>Nombre Proyecto:</t>
  </si>
  <si>
    <t>Alumno:</t>
  </si>
  <si>
    <t>Duración semanas</t>
  </si>
  <si>
    <t>Fecha de inicio de proyecto</t>
  </si>
  <si>
    <t>Semanas del proyecto</t>
  </si>
  <si>
    <t>PROCESO DE GESTIÓN DE CAMBIOS</t>
  </si>
  <si>
    <t>Fecha programada de término:</t>
  </si>
  <si>
    <t>Fecha término</t>
  </si>
  <si>
    <t>Ana Jiménez</t>
  </si>
  <si>
    <t>Aidé Martínez</t>
  </si>
  <si>
    <t>Jorge Briseño</t>
  </si>
  <si>
    <r>
      <t>I</t>
    </r>
    <r>
      <rPr>
        <b/>
        <sz val="11"/>
        <color theme="1"/>
        <rFont val="Calibri"/>
        <family val="2"/>
        <scheme val="minor"/>
      </rPr>
      <t>. Resumen del Proyecto</t>
    </r>
    <r>
      <rPr>
        <sz val="11"/>
        <color theme="1"/>
        <rFont val="Calibri"/>
        <family val="2"/>
        <scheme val="minor"/>
      </rPr>
      <t xml:space="preserve">
TecnoStudio, una empresa líder en tecnología y diseño, busca desarrollar una aplicación móvil orientada a fortalecer la conexión con sus clientes, ofrecer servicios en línea y ampliar su presencia en el mercado digital. Este proyecto surge como respuesta a la necesidad de adaptarse a un entorno cada vez más digitalizado, en el que los clientes demandan soluciones accesibles, eficientes y alineadas con la identidad de marca.
La aplicación móvil deberá ser intuitiva, funcional y visualmente coherente con los valores de TecnoStudio, permitiendo a los usuarios interactuar de manera directa con la empresa, acceder a productos y servicios, recibir soporte técnico y participar en iniciativas de fidelización. Asimismo, el proyecto contempla la integración de herramientas de comercio electrónico y recursos educativos que agreguen valor a la experiencia del usuario y fortalezcan la relación empresa–cliente.
Características Principales
Inicio de Sesión Seguro: Opciones de autenticación mediante correo electrónico, Facebook o Google.
Navegación Intuitiva: Diseño sencillo y limpio que facilite la búsqueda de productos, servicios y recursos educativos.
Integración de Carrito de Compras: Herramientas que faciliten la selección y compra de productos desde la aplicación.
Centro de Ayuda y Soporte Técnico: Chat en vivo con el equipo de soporte, sección de preguntas frecuentes (FAQ) y base de conocimientos.
Sección de Noticias y Eventos: Actualizaciones periódicas sobre nuevos productos, eventos y noticias relevantes de la industria.
Programa de Lealtad: Sistema de puntos y recompensas para incentivar la fidelización de los clientes.
Multi-Idioma: Disponibilidad de la aplicación en varios idiomas para ampliar su alcance.
Tecnologías Propuestas
El desarrollo de la aplicación podrá realizarse de forma nativa en Android e iOS o mediante un framework multiplataforma como React Native, con el fin de optimizar tiempos y costos de desarrollo. Asimismo, se contempla la integración con sistemas de pago en línea como PayPal y Stripe, así como la implementación de tecnologías de seguridad que garanticen la protección de la información y el cumplimiento de las regulaciones de privacidad vigentes.
VI. Cronograma y Presupuesto
Fase de Planificación: 2 semanas
Diseño y Prototipado: 4 semanas
Desarrollo: 10 semanas
Pruebas y Aseguramiento de la Calidad: 3 semanas
Lanzamiento y Mantenimiento Continuo: 1 semana
Presupuesto estimado: $255,000.00 MXN</t>
    </r>
  </si>
  <si>
    <t>Tecnostudio</t>
  </si>
  <si>
    <t>Semanas que faltan de planeación</t>
  </si>
  <si>
    <t>Cambio 1</t>
  </si>
  <si>
    <t>Cambio 2</t>
  </si>
  <si>
    <t>Cambio 3</t>
  </si>
  <si>
    <t>Cambio 4</t>
  </si>
  <si>
    <t>Cambio 5</t>
  </si>
  <si>
    <t>Cambio 6</t>
  </si>
  <si>
    <t>Cambio 7</t>
  </si>
  <si>
    <t>Cambio 8</t>
  </si>
  <si>
    <t>Cambio 9</t>
  </si>
  <si>
    <t>Cambio 10</t>
  </si>
  <si>
    <t>Semana No.</t>
  </si>
  <si>
    <t>Entrega formal del proyecto:</t>
  </si>
  <si>
    <t>Modificar eligiendo opciones en celdas con color rojo</t>
  </si>
  <si>
    <t>Requerimientos (no modificar)</t>
  </si>
  <si>
    <t>En esta actividad se estuvo realizando lo que fue en si una planeación de forma organizada, respecto a los cambios y requerimientos que fueron solicitados, pero no pueden ser tomados simplemente de la nada, debe de decidirse un tiempo que quede acorde con el cambio que se estará realizando, al igual contemplar lo que viene siendo su estado, el riesgo, prioridad, entre otros. Me pareció muy bien sinceramente, ya que de esta forma somos mas conscientes al trabajar y el como se debe de cumplir una actividad o en si el proyecto en el tiempo marcado, el hecho de que vimos este proceso de gestión, nos aporta en nuestra comprensión de que aspectos u elementos tomar en cuenta al momento de realizarlo, ya que esto es muy probable que lo lleguemos a ver en algún futuro trabajo desempeñándonos como programadores en si o igual podemos usarlo para llevar un control en nuestra vida personal con algún proyecto que tengamos.</t>
  </si>
  <si>
    <t>Ana Carolina Mireles Ruiz.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</si>
</sst>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entury Gothic"/>
      <family val="2"/>
    </font>
    <font>
      <sz val="12"/>
      <color theme="1"/>
      <name val="Calibri"/>
      <family val="2"/>
      <scheme val="minor"/>
    </font>
    <font>
      <sz val="8"/>
      <name val="Calibri"/>
      <family val="2"/>
      <scheme val="minor"/>
    </font>
    <font>
      <b/>
      <sz val="11"/>
      <name val="Calibri"/>
      <family val="2"/>
      <scheme val="minor"/>
    </font>
    <font>
      <sz val="10"/>
      <color theme="1"/>
      <name val="Calibri"/>
      <family val="2"/>
      <scheme val="minor"/>
    </font>
    <font>
      <i/>
      <sz val="11"/>
      <color rgb="FFFF0000"/>
      <name val="Calibri"/>
      <family val="2"/>
      <scheme val="minor"/>
    </font>
    <font>
      <b/>
      <sz val="12"/>
      <color theme="1"/>
      <name val="Calibri"/>
      <family val="2"/>
      <scheme val="minor"/>
    </font>
    <font>
      <b/>
      <i/>
      <sz val="20"/>
      <color rgb="FFFF0000"/>
      <name val="Century Gothic"/>
      <family val="1"/>
    </font>
    <font>
      <sz val="9"/>
      <color theme="1"/>
      <name val="Calibri"/>
      <family val="2"/>
      <scheme val="minor"/>
    </font>
    <font>
      <sz val="10"/>
      <color rgb="FFFF0000"/>
      <name val="Calibri"/>
      <family val="2"/>
      <scheme val="minor"/>
    </font>
    <font>
      <b/>
      <sz val="10"/>
      <name val="Calibri"/>
      <family val="2"/>
      <scheme val="minor"/>
    </font>
    <font>
      <sz val="20"/>
      <color theme="1" tint="0.34998626667073579"/>
      <name val="Century Gothic"/>
      <family val="2"/>
    </font>
    <font>
      <b/>
      <sz val="11"/>
      <color theme="0"/>
      <name val="Calibri"/>
      <family val="2"/>
      <scheme val="minor"/>
    </font>
    <font>
      <b/>
      <sz val="10"/>
      <color rgb="FFFF0000"/>
      <name val="Calibri"/>
      <family val="2"/>
      <scheme val="minor"/>
    </font>
    <font>
      <b/>
      <sz val="11"/>
      <color rgb="FFFF0000"/>
      <name val="Calibri"/>
      <family val="2"/>
      <scheme val="minor"/>
    </font>
    <font>
      <i/>
      <sz val="11"/>
      <color theme="1"/>
      <name val="Calibri"/>
      <family val="2"/>
      <scheme val="minor"/>
    </font>
    <font>
      <b/>
      <i/>
      <sz val="14"/>
      <color rgb="FFFF0000"/>
      <name val="Century Gothic"/>
      <family val="1"/>
    </font>
    <font>
      <b/>
      <sz val="20"/>
      <color theme="1" tint="0.34998626667073579"/>
      <name val="Century Gothic"/>
      <family val="2"/>
    </font>
    <font>
      <b/>
      <sz val="22"/>
      <color theme="1" tint="0.34998626667073579"/>
      <name val="Century Gothic"/>
      <family val="2"/>
    </font>
    <font>
      <b/>
      <i/>
      <sz val="22"/>
      <color theme="1" tint="0.34998626667073579"/>
      <name val="Century Gothic"/>
      <family val="2"/>
    </font>
    <font>
      <b/>
      <sz val="8"/>
      <color theme="1"/>
      <name val="Calibri"/>
      <family val="2"/>
      <scheme val="minor"/>
    </font>
    <font>
      <sz val="8"/>
      <color theme="1"/>
      <name val="Calibri"/>
      <family val="2"/>
      <scheme val="minor"/>
    </font>
    <font>
      <sz val="12"/>
      <color theme="1"/>
      <name val="Times New Roman"/>
      <family val="1"/>
    </font>
  </fonts>
  <fills count="7">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theme="4"/>
        <bgColor theme="4"/>
      </patternFill>
    </fill>
    <fill>
      <patternFill patternType="solid">
        <fgColor theme="9" tint="0.59999389629810485"/>
        <bgColor indexed="64"/>
      </patternFill>
    </fill>
  </fills>
  <borders count="1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4" tint="0.39997558519241921"/>
      </left>
      <right/>
      <top style="thin">
        <color theme="4" tint="0.39997558519241921"/>
      </top>
      <bottom style="thin">
        <color theme="4" tint="0.39997558519241921"/>
      </bottom>
      <diagonal/>
    </border>
  </borders>
  <cellStyleXfs count="4">
    <xf numFmtId="0" fontId="0" fillId="0" borderId="0"/>
    <xf numFmtId="9" fontId="1" fillId="0" borderId="0" applyFont="0" applyFill="0" applyBorder="0" applyAlignment="0" applyProtection="0"/>
    <xf numFmtId="0" fontId="4" fillId="0" borderId="0"/>
    <xf numFmtId="9" fontId="4" fillId="0" borderId="0" applyFont="0" applyFill="0" applyBorder="0" applyAlignment="0" applyProtection="0"/>
  </cellStyleXfs>
  <cellXfs count="49">
    <xf numFmtId="0" fontId="0" fillId="0" borderId="0" xfId="0"/>
    <xf numFmtId="0" fontId="2" fillId="0" borderId="0" xfId="0" applyFont="1" applyAlignment="1">
      <alignment horizontal="center" vertical="center"/>
    </xf>
    <xf numFmtId="0" fontId="0" fillId="0" borderId="0" xfId="0" applyAlignment="1">
      <alignment horizontal="center" vertical="center"/>
    </xf>
    <xf numFmtId="0" fontId="2" fillId="2" borderId="0" xfId="0" applyFont="1" applyFill="1"/>
    <xf numFmtId="0" fontId="0" fillId="2" borderId="0" xfId="0" applyFill="1"/>
    <xf numFmtId="0" fontId="0" fillId="0" borderId="0" xfId="0" applyAlignment="1">
      <alignment horizontal="left" vertical="top"/>
    </xf>
    <xf numFmtId="0" fontId="0" fillId="0" borderId="0" xfId="0" applyAlignment="1">
      <alignment vertical="top" wrapText="1"/>
    </xf>
    <xf numFmtId="0" fontId="2" fillId="0" borderId="0" xfId="0" applyFont="1"/>
    <xf numFmtId="0" fontId="6" fillId="0" borderId="0" xfId="0" applyFont="1" applyAlignment="1">
      <alignment horizontal="center"/>
    </xf>
    <xf numFmtId="0" fontId="8" fillId="0" borderId="0" xfId="0" applyFont="1"/>
    <xf numFmtId="1" fontId="9" fillId="4" borderId="0" xfId="0" applyNumberFormat="1" applyFont="1" applyFill="1" applyAlignment="1">
      <alignment horizontal="center" vertical="center"/>
    </xf>
    <xf numFmtId="0" fontId="10" fillId="3" borderId="0" xfId="2" applyFont="1" applyFill="1" applyAlignment="1">
      <alignment vertical="center"/>
    </xf>
    <xf numFmtId="44" fontId="0" fillId="0" borderId="0" xfId="0" applyNumberFormat="1"/>
    <xf numFmtId="0" fontId="14" fillId="3" borderId="0" xfId="2" applyFont="1" applyFill="1" applyAlignment="1">
      <alignment vertical="center"/>
    </xf>
    <xf numFmtId="0" fontId="15" fillId="5" borderId="9" xfId="0" applyFont="1" applyFill="1" applyBorder="1"/>
    <xf numFmtId="0" fontId="11" fillId="0" borderId="0" xfId="0" applyFont="1" applyAlignment="1">
      <alignment horizontal="left" vertical="top" wrapText="1"/>
    </xf>
    <xf numFmtId="14" fontId="6" fillId="4" borderId="0" xfId="0" applyNumberFormat="1" applyFont="1" applyFill="1"/>
    <xf numFmtId="0" fontId="12" fillId="0" borderId="0" xfId="0" applyFont="1" applyAlignment="1">
      <alignment horizontal="left" vertical="center"/>
    </xf>
    <xf numFmtId="44" fontId="12" fillId="0" borderId="0" xfId="0" applyNumberFormat="1" applyFont="1" applyAlignment="1">
      <alignment horizontal="left" vertical="center"/>
    </xf>
    <xf numFmtId="44" fontId="13" fillId="0" borderId="0" xfId="0" applyNumberFormat="1" applyFont="1" applyAlignment="1">
      <alignment horizontal="left" vertical="center"/>
    </xf>
    <xf numFmtId="0" fontId="7" fillId="0" borderId="0" xfId="0" applyFont="1" applyAlignment="1">
      <alignment wrapText="1"/>
    </xf>
    <xf numFmtId="1" fontId="9" fillId="0" borderId="0" xfId="0" applyNumberFormat="1" applyFont="1" applyAlignment="1">
      <alignment horizontal="center" vertical="center"/>
    </xf>
    <xf numFmtId="1" fontId="16" fillId="0" borderId="0" xfId="1" applyNumberFormat="1" applyFont="1" applyAlignment="1">
      <alignment horizontal="center" vertical="center"/>
    </xf>
    <xf numFmtId="14" fontId="17" fillId="4" borderId="0" xfId="0" applyNumberFormat="1" applyFont="1" applyFill="1"/>
    <xf numFmtId="14" fontId="13" fillId="0" borderId="0" xfId="0" applyNumberFormat="1" applyFont="1" applyAlignment="1">
      <alignment horizontal="left" vertical="center"/>
    </xf>
    <xf numFmtId="0" fontId="6" fillId="0" borderId="0" xfId="0" applyFont="1"/>
    <xf numFmtId="0" fontId="18" fillId="0" borderId="0" xfId="0" applyFont="1"/>
    <xf numFmtId="0" fontId="18" fillId="0" borderId="0" xfId="0" applyFont="1" applyAlignment="1">
      <alignment horizontal="center" vertical="center"/>
    </xf>
    <xf numFmtId="164" fontId="14" fillId="3" borderId="0" xfId="2" applyNumberFormat="1" applyFont="1" applyFill="1" applyAlignment="1">
      <alignment vertical="center"/>
    </xf>
    <xf numFmtId="14" fontId="13" fillId="0" borderId="0" xfId="1" applyNumberFormat="1" applyFont="1" applyAlignment="1">
      <alignment horizontal="left" vertical="center"/>
    </xf>
    <xf numFmtId="0" fontId="19" fillId="3" borderId="0" xfId="2" applyFont="1" applyFill="1" applyAlignment="1">
      <alignment vertical="center"/>
    </xf>
    <xf numFmtId="0" fontId="20" fillId="3" borderId="0" xfId="2" applyFont="1" applyFill="1" applyAlignment="1">
      <alignment vertical="center"/>
    </xf>
    <xf numFmtId="0" fontId="21" fillId="3" borderId="0" xfId="2" applyFont="1" applyFill="1" applyAlignment="1">
      <alignment vertical="center"/>
    </xf>
    <xf numFmtId="0" fontId="22" fillId="3" borderId="0" xfId="2" applyFont="1" applyFill="1" applyAlignment="1">
      <alignment vertical="center"/>
    </xf>
    <xf numFmtId="0" fontId="23" fillId="0" borderId="0" xfId="0" applyFont="1" applyAlignment="1">
      <alignment horizontal="center"/>
    </xf>
    <xf numFmtId="0" fontId="24" fillId="0" borderId="0" xfId="0" applyFont="1"/>
    <xf numFmtId="0" fontId="9" fillId="6" borderId="0" xfId="0" applyFont="1" applyFill="1" applyAlignment="1">
      <alignment vertical="center"/>
    </xf>
    <xf numFmtId="0" fontId="4" fillId="6" borderId="0" xfId="0" applyFont="1" applyFill="1" applyAlignment="1">
      <alignment vertical="center"/>
    </xf>
    <xf numFmtId="8" fontId="9" fillId="6" borderId="0" xfId="0" applyNumberFormat="1" applyFont="1" applyFill="1" applyAlignment="1">
      <alignment vertical="center"/>
    </xf>
    <xf numFmtId="0" fontId="0" fillId="0" borderId="0" xfId="0" applyAlignment="1">
      <alignment horizontal="left" vertical="top" wrapText="1"/>
    </xf>
    <xf numFmtId="0" fontId="25"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3" fillId="0" borderId="0" xfId="0" applyFont="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cellXfs>
  <cellStyles count="4">
    <cellStyle name="Normal" xfId="0" builtinId="0"/>
    <cellStyle name="Normal 2" xfId="2" xr:uid="{BB54F8E7-B48A-4B20-9709-FF2BF61FB330}"/>
    <cellStyle name="Percent" xfId="3" xr:uid="{7566CE10-D99C-482F-9A57-983956AF57C5}"/>
    <cellStyle name="Porcentaje" xfId="1" builtinId="5"/>
  </cellStyles>
  <dxfs count="49">
    <dxf>
      <fill>
        <patternFill>
          <bgColor rgb="FF009999"/>
        </patternFill>
      </fill>
    </dxf>
    <dxf>
      <fill>
        <patternFill>
          <bgColor rgb="FF6600CC"/>
        </patternFill>
      </fill>
    </dxf>
    <dxf>
      <fill>
        <patternFill>
          <bgColor rgb="FF7030A0"/>
        </patternFill>
      </fill>
    </dxf>
    <dxf>
      <fill>
        <patternFill>
          <bgColor rgb="FF002060"/>
        </patternFill>
      </fill>
    </dxf>
    <dxf>
      <fill>
        <patternFill>
          <bgColor rgb="FF700000"/>
        </patternFill>
      </fill>
    </dxf>
    <dxf>
      <fill>
        <patternFill>
          <bgColor rgb="FFFFFF00"/>
        </patternFill>
      </fill>
    </dxf>
    <dxf>
      <fill>
        <patternFill>
          <bgColor rgb="FF92D050"/>
        </patternFill>
      </fill>
    </dxf>
    <dxf>
      <fill>
        <patternFill>
          <bgColor rgb="FF0000FF"/>
        </patternFill>
      </fill>
    </dxf>
    <dxf>
      <fill>
        <patternFill>
          <bgColor rgb="FF0070C0"/>
        </patternFill>
      </fill>
    </dxf>
    <dxf>
      <fill>
        <patternFill>
          <bgColor rgb="FF00B0F0"/>
        </patternFill>
      </fill>
    </dxf>
    <dxf>
      <fill>
        <patternFill>
          <bgColor rgb="FF005C2A"/>
        </patternFill>
      </fill>
    </dxf>
    <dxf>
      <fill>
        <patternFill>
          <bgColor rgb="FF00B050"/>
        </patternFill>
      </fill>
    </dxf>
    <dxf>
      <fill>
        <patternFill>
          <bgColor rgb="FF92D050"/>
        </patternFill>
      </fill>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
      <font>
        <b/>
        <i val="0"/>
        <strike val="0"/>
        <condense val="0"/>
        <extend val="0"/>
        <outline val="0"/>
        <shadow val="0"/>
        <u val="none"/>
        <vertAlign val="baseline"/>
        <sz val="8"/>
        <color theme="1"/>
        <name val="Calibri"/>
        <family val="2"/>
        <scheme val="minor"/>
      </font>
      <alignment horizontal="center" vertical="bottom" textRotation="0" wrapText="0" indent="0" justifyLastLine="0" shrinkToFit="0" readingOrder="0"/>
    </dxf>
    <dxf>
      <font>
        <strike val="0"/>
        <outline val="0"/>
        <shadow val="0"/>
        <u val="none"/>
        <vertAlign val="baseline"/>
        <sz val="8"/>
        <color theme="1"/>
        <name val="Calibri"/>
        <family val="2"/>
        <scheme val="minor"/>
      </font>
    </dxf>
    <dxf>
      <font>
        <b/>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strike val="0"/>
        <outline val="0"/>
        <shadow val="0"/>
        <u val="none"/>
        <vertAlign val="baseline"/>
        <sz val="10"/>
        <color theme="1"/>
        <name val="Calibri"/>
        <family val="2"/>
        <scheme val="minor"/>
      </font>
    </dxf>
    <dxf>
      <font>
        <b/>
        <i val="0"/>
        <strike val="0"/>
        <condense val="0"/>
        <extend val="0"/>
        <outline val="0"/>
        <shadow val="0"/>
        <u val="none"/>
        <vertAlign val="baseline"/>
        <sz val="11"/>
        <color auto="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auto="1"/>
        <name val="Calibri"/>
        <family val="2"/>
        <scheme val="minor"/>
      </font>
      <alignment horizontal="left" vertical="bottom" textRotation="0" wrapText="0" indent="0" justifyLastLine="0" shrinkToFit="0" readingOrder="0"/>
    </dxf>
    <dxf>
      <font>
        <i/>
        <strike val="0"/>
        <outline val="0"/>
        <shadow val="0"/>
        <u val="none"/>
        <vertAlign val="baseline"/>
        <sz val="11"/>
        <color rgb="FFFF0000"/>
        <name val="Calibri"/>
        <family val="2"/>
        <scheme val="minor"/>
      </font>
    </dxf>
    <dxf>
      <numFmt numFmtId="34" formatCode="_-&quot;$&quot;* #,##0.00_-;\-&quot;$&quot;* #,##0.00_-;_-&quot;$&quot;* &quot;-&quot;??_-;_-@_-"/>
    </dxf>
    <dxf>
      <font>
        <b/>
        <strike val="0"/>
        <outline val="0"/>
        <shadow val="0"/>
        <u val="none"/>
        <vertAlign val="baseline"/>
        <sz val="10"/>
        <color auto="1"/>
        <name val="Calibri"/>
        <family val="2"/>
        <scheme val="minor"/>
      </font>
      <numFmt numFmtId="34" formatCode="_-&quot;$&quot;* #,##0.00_-;\-&quot;$&quot;* #,##0.00_-;_-&quot;$&quot;* &quot;-&quot;??_-;_-@_-"/>
      <alignment horizontal="left" vertical="center" textRotation="0" wrapText="0" indent="0" justifyLastLine="0" shrinkToFit="0" readingOrder="0"/>
    </dxf>
    <dxf>
      <font>
        <strike val="0"/>
        <outline val="0"/>
        <shadow val="0"/>
        <u val="none"/>
        <vertAlign val="baseline"/>
        <sz val="10"/>
        <color rgb="FFFF0000"/>
        <name val="Calibri"/>
        <family val="2"/>
        <scheme val="minor"/>
      </font>
      <numFmt numFmtId="34" formatCode="_-&quot;$&quot;* #,##0.00_-;\-&quot;$&quot;* #,##0.00_-;_-&quot;$&quot;* &quot;-&quot;??_-;_-@_-"/>
      <alignment horizontal="lef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strike val="0"/>
        <outline val="0"/>
        <shadow val="0"/>
        <u val="none"/>
        <vertAlign val="baseline"/>
        <sz val="10"/>
        <color rgb="FFFF0000"/>
        <name val="Calibri"/>
        <family val="2"/>
        <scheme val="minor"/>
      </font>
      <alignment horizontal="left" vertical="center" textRotation="0" wrapText="0" indent="0" justifyLastLine="0" shrinkToFit="0" readingOrder="0"/>
    </dxf>
    <dxf>
      <font>
        <strike val="0"/>
        <outline val="0"/>
        <shadow val="0"/>
        <u val="none"/>
        <vertAlign val="baseline"/>
        <sz val="10"/>
        <color rgb="FFFF0000"/>
        <name val="Calibri"/>
        <family val="2"/>
        <scheme val="minor"/>
      </font>
      <alignment horizontal="left" vertical="center" textRotation="0" wrapText="0" indent="0" justifyLastLine="0" shrinkToFit="0" readingOrder="0"/>
    </dxf>
    <dxf>
      <font>
        <strike val="0"/>
        <outline val="0"/>
        <shadow val="0"/>
        <u val="none"/>
        <vertAlign val="baseline"/>
        <sz val="10"/>
        <color rgb="FFFF0000"/>
        <name val="Calibri"/>
        <family val="2"/>
        <scheme val="minor"/>
      </font>
      <alignment horizontal="left" vertical="center" textRotation="0" wrapText="0" indent="0" justifyLastLine="0" shrinkToFit="0" readingOrder="0"/>
    </dxf>
    <dxf>
      <font>
        <strike val="0"/>
        <outline val="0"/>
        <shadow val="0"/>
        <u val="none"/>
        <vertAlign val="baseline"/>
        <sz val="10"/>
        <color rgb="FFFF0000"/>
        <name val="Calibri"/>
        <family val="2"/>
        <scheme val="minor"/>
      </font>
      <alignment horizontal="left" vertical="center" textRotation="0" wrapText="0" indent="0" justifyLastLine="0" shrinkToFit="0" readingOrder="0"/>
    </dxf>
    <dxf>
      <font>
        <strike val="0"/>
        <outline val="0"/>
        <shadow val="0"/>
        <u val="none"/>
        <vertAlign val="baseline"/>
        <sz val="10"/>
        <color rgb="FFFF0000"/>
        <name val="Calibri"/>
        <family val="2"/>
        <scheme val="minor"/>
      </font>
      <alignment horizontal="left"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rgb="FFFF0000"/>
        <name val="Calibri"/>
        <family val="2"/>
        <scheme val="minor"/>
      </font>
      <alignment horizontal="left"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alignment horizontal="left"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numFmt numFmtId="1" formatCode="0"/>
      <fill>
        <patternFill patternType="solid">
          <fgColor indexed="64"/>
          <bgColor rgb="FFFFFF00"/>
        </patternFill>
      </fill>
      <alignment horizontal="center" vertical="center" textRotation="0" wrapText="0" indent="0" justifyLastLine="0" shrinkToFit="0" readingOrder="0"/>
    </dxf>
    <dxf>
      <font>
        <b/>
        <i val="0"/>
        <strike val="0"/>
        <condense val="0"/>
        <extend val="0"/>
        <outline val="0"/>
        <shadow val="0"/>
        <u val="none"/>
        <vertAlign val="baseline"/>
        <sz val="10"/>
        <color rgb="FFFF0000"/>
        <name val="Calibri"/>
        <family val="2"/>
        <scheme val="minor"/>
      </font>
      <numFmt numFmtId="1" formatCode="0"/>
      <alignment horizontal="center" vertical="center" textRotation="0" wrapText="0" indent="0" justifyLastLine="0" shrinkToFit="0" readingOrder="0"/>
    </dxf>
    <dxf>
      <font>
        <b/>
        <strike val="0"/>
        <outline val="0"/>
        <shadow val="0"/>
        <u val="none"/>
        <vertAlign val="baseline"/>
        <sz val="10"/>
        <color rgb="FFFF0000"/>
        <name val="Calibri"/>
        <family val="2"/>
        <scheme val="minor"/>
      </font>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9"/>
        <color theme="1"/>
        <name val="Calibri"/>
        <family val="2"/>
        <scheme val="minor"/>
      </font>
      <numFmt numFmtId="0" formatCode="General"/>
      <alignment horizontal="left" vertical="top" textRotation="0" wrapText="1" indent="0" justifyLastLine="0" shrinkToFit="0" readingOrder="0"/>
    </dxf>
    <dxf>
      <font>
        <b/>
      </font>
      <numFmt numFmtId="0" formatCode="General"/>
      <alignment horizontal="center" vertical="center" textRotation="0" wrapText="0" indent="0" justifyLastLine="0" shrinkToFit="0" readingOrder="0"/>
    </dxf>
    <dxf>
      <alignment horizontal="left" vertical="top" textRotation="0" wrapText="0" indent="0" justifyLastLine="0" shrinkToFit="0" readingOrder="0"/>
    </dxf>
  </dxfs>
  <tableStyles count="0" defaultTableStyle="TableStyleMedium2" defaultPivotStyle="PivotStyleLight16"/>
  <colors>
    <mruColors>
      <color rgb="FF009999"/>
      <color rgb="FF6600CC"/>
      <color rgb="FF9900FF"/>
      <color rgb="FF0000FF"/>
      <color rgb="FF005C2A"/>
      <color rgb="FF700000"/>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594360</xdr:colOff>
      <xdr:row>29</xdr:row>
      <xdr:rowOff>172828</xdr:rowOff>
    </xdr:to>
    <xdr:pic>
      <xdr:nvPicPr>
        <xdr:cNvPr id="2" name="Imagen 1">
          <a:extLst>
            <a:ext uri="{FF2B5EF4-FFF2-40B4-BE49-F238E27FC236}">
              <a16:creationId xmlns:a16="http://schemas.microsoft.com/office/drawing/2014/main" id="{54CE94F4-B2A6-045B-C399-D1CBEBF4E0E8}"/>
            </a:ext>
          </a:extLst>
        </xdr:cNvPr>
        <xdr:cNvPicPr>
          <a:picLocks noChangeAspect="1"/>
        </xdr:cNvPicPr>
      </xdr:nvPicPr>
      <xdr:blipFill rotWithShape="1">
        <a:blip xmlns:r="http://schemas.openxmlformats.org/officeDocument/2006/relationships" r:embed="rId1"/>
        <a:srcRect l="592" t="908" r="-1"/>
        <a:stretch>
          <a:fillRect/>
        </a:stretch>
      </xdr:blipFill>
      <xdr:spPr>
        <a:xfrm>
          <a:off x="0" y="0"/>
          <a:ext cx="4213860" cy="547634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C-Office-Work-Schedule-Template16"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ffice Work Schedule"/>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D2D14A-B679-4B3F-BD31-6F5322BE53E0}" name="Cambios" displayName="Cambios" ref="A9:M20" totalsRowCount="1" headerRowDxfId="48">
  <autoFilter ref="A9:M19" xr:uid="{3AD2D14A-B679-4B3F-BD31-6F5322BE53E0}"/>
  <tableColumns count="13">
    <tableColumn id="1" xr3:uid="{57C90093-B8BA-4EA3-B903-12B9BF0BBE74}" name="No." dataDxfId="47">
      <calculatedColumnFormula>A48</calculatedColumnFormula>
    </tableColumn>
    <tableColumn id="6" xr3:uid="{2B086AF4-96FD-4504-B516-A9702A7BA42D}" name="Cambio solicitado" dataDxfId="46">
      <calculatedColumnFormula array="1">_xlfn.XLOOKUP(Cambios[[#This Row],[No.]],Tabla1[[#All],[Columna1]],Tabla1[[#All],[Columna2]],,0,)</calculatedColumnFormula>
    </tableColumn>
    <tableColumn id="2" xr3:uid="{A5DC259D-36FA-4180-8461-DE013A2CAAA9}" name="Fecha de solicitud" dataDxfId="45"/>
    <tableColumn id="14" xr3:uid="{269AE30F-3186-40F2-ABE6-3AA9BD92A85C}" name="Duración semanas" totalsRowFunction="sum" dataDxfId="44" totalsRowDxfId="43" dataCellStyle="Porcentaje">
      <calculatedColumnFormula>(Cambios[[#This Row],[Fecha término]]-Cambios[[#This Row],[Fecha de solicitud]])/7</calculatedColumnFormula>
    </tableColumn>
    <tableColumn id="3" xr3:uid="{5EBBF8E3-F3A5-45D3-990D-200A1DFAED88}" name="Fecha término" dataDxfId="42" totalsRowDxfId="41" dataCellStyle="Porcentaje">
      <calculatedColumnFormula>B5+(D10*7)</calculatedColumnFormula>
    </tableColumn>
    <tableColumn id="4" xr3:uid="{F699ADE2-DACC-42A3-B27A-54984FE28F66}" name="Solicitado por" dataDxfId="40" totalsRowDxfId="39"/>
    <tableColumn id="5" xr3:uid="{7C9452DF-EC3F-446E-A54F-1C73EDB47695}" name="Tipo de cambio" dataDxfId="38"/>
    <tableColumn id="7" xr3:uid="{4850C891-8EC5-47DA-9071-CE8BBB94F2D5}" name="Impacto" dataDxfId="37"/>
    <tableColumn id="8" xr3:uid="{4CB32644-2BB6-4DC9-AFFD-2461F3BEB583}" name="Estatus" dataDxfId="36"/>
    <tableColumn id="9" xr3:uid="{FD9B8265-7F53-47D1-8A42-9601B6915281}" name="Prioridad" dataDxfId="35"/>
    <tableColumn id="10" xr3:uid="{100B0C3D-81E1-4754-86A6-836471428CC2}" name="Riesgo" totalsRowLabel="Costo total de cambio" dataDxfId="34" totalsRowDxfId="33"/>
    <tableColumn id="11" xr3:uid="{BEA643FC-6191-4E83-B016-B028A14CBEA1}" name="Costo" dataDxfId="32"/>
    <tableColumn id="13" xr3:uid="{46D1CEF1-D6EE-4A95-9384-03DCEA6D4EC8}" name="Presupuesto gastado" totalsRowFunction="custom" dataDxfId="31" totalsRowDxfId="30">
      <calculatedColumnFormula>$K$8-Cambios[[#This Row],[Costo]]</calculatedColumnFormula>
      <totalsRowFormula>M19</totalsRowFormula>
    </tableColumn>
  </tableColumns>
  <tableStyleInfo name="TableStyleMedium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7EF536-48D0-4DF5-BB8F-62CBBABD1205}" name="Tabla2" displayName="Tabla2" ref="C47:I51" totalsRowShown="0">
  <autoFilter ref="C47:I51" xr:uid="{BB7EF536-48D0-4DF5-BB8F-62CBBABD12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ACAC0FB-D662-4712-8A4C-DFC68387ED0E}" name="Tipo de cambio"/>
    <tableColumn id="2" xr3:uid="{1A49C7D0-2222-44CA-ADCE-022210232416}" name="Impacto"/>
    <tableColumn id="3" xr3:uid="{B3A95429-8AC9-4FE0-9C01-E730179CF153}" name="Estatus"/>
    <tableColumn id="4" xr3:uid="{AB32FB27-4161-4B06-91C5-8B9E8FA08599}" name="Prioridad"/>
    <tableColumn id="5" xr3:uid="{1DF44397-FAB3-40EE-94B3-ABDAE1B06948}" name="Riesgo"/>
    <tableColumn id="6" xr3:uid="{3DF635EC-8371-4375-8810-461D9311E333}" name="Departamento"/>
    <tableColumn id="7" xr3:uid="{719BB23D-EE77-4C7F-B68F-5BFDE2050987}" name="Responsable" dataDxfId="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C58E90-B1E8-4E55-B314-DF52240888E6}" name="Tabla1" displayName="Tabla1" ref="A48:B57" headerRowCount="0" totalsRowShown="0">
  <tableColumns count="2">
    <tableColumn id="1" xr3:uid="{62DF0F4A-0B94-41FE-8332-C5A76CB52758}" name="Columna1" headerRowDxfId="28" dataDxfId="27"/>
    <tableColumn id="2" xr3:uid="{C4063AEC-B4E3-4249-8754-5FD8E275E2C1}" name="Columna2" dataDxfId="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C50390-50A7-426B-87B2-F4E2729C8F20}" name="GANNT" displayName="GANNT" ref="A23:K43" totalsRowShown="0" headerRowDxfId="25" dataDxfId="24">
  <autoFilter ref="A23:K43" xr:uid="{B5C50390-50A7-426B-87B2-F4E2729C8F20}"/>
  <tableColumns count="11">
    <tableColumn id="1" xr3:uid="{F12591A6-79CB-497B-A546-092FEA0C8D5E}" name="Semana No." dataDxfId="23"/>
    <tableColumn id="2" xr3:uid="{D201C90C-26FC-4C79-8178-2F41A7CBBBDA}" name="Cambio 1" dataDxfId="22"/>
    <tableColumn id="3" xr3:uid="{D621AA1E-3B6F-4810-A8E5-997ED7DF4651}" name="Cambio 2" dataDxfId="21"/>
    <tableColumn id="4" xr3:uid="{C6C317BE-5152-41F5-A69A-0A0A963A00F0}" name="Cambio 3" dataDxfId="20"/>
    <tableColumn id="5" xr3:uid="{2621714D-8F14-41E9-8BD2-9FC2C84446E3}" name="Cambio 4" dataDxfId="19"/>
    <tableColumn id="6" xr3:uid="{6213C588-4328-42EF-A491-DF713F0A4116}" name="Cambio 5" dataDxfId="18"/>
    <tableColumn id="7" xr3:uid="{B1039486-5382-4031-A6FD-B8D553D561E0}" name="Cambio 6" dataDxfId="17"/>
    <tableColumn id="8" xr3:uid="{0811CD4A-BEC1-4366-B026-585FB2FEFA8C}" name="Cambio 7" dataDxfId="16"/>
    <tableColumn id="9" xr3:uid="{26F958E3-86A9-4819-957C-DF6CA70E5405}" name="Cambio 8" dataDxfId="15"/>
    <tableColumn id="10" xr3:uid="{4F9A77FB-C864-47A7-8B71-12B7168EFAC4}" name="Cambio 9" dataDxfId="14"/>
    <tableColumn id="11" xr3:uid="{73AA8A85-5BAF-44EF-9EC2-C32EB073CDC7}" name="Cambio 10" dataDxfId="13"/>
  </tableColumns>
  <tableStyleInfo name="TableStyleLight4"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00FA8-57F0-457E-B3F8-6CCB9A89523B}">
  <sheetPr>
    <tabColor theme="7" tint="0.79998168889431442"/>
  </sheetPr>
  <dimension ref="A1:A7"/>
  <sheetViews>
    <sheetView tabSelected="1" topLeftCell="A5" workbookViewId="0">
      <selection activeCell="L11" sqref="L11"/>
    </sheetView>
  </sheetViews>
  <sheetFormatPr baseColWidth="10" defaultRowHeight="14.4" x14ac:dyDescent="0.3"/>
  <cols>
    <col min="1" max="1" width="18.88671875" bestFit="1" customWidth="1"/>
    <col min="2" max="2" width="10.77734375" customWidth="1"/>
  </cols>
  <sheetData>
    <row r="1" spans="1:1" x14ac:dyDescent="0.3">
      <c r="A1" s="7" t="s">
        <v>34</v>
      </c>
    </row>
    <row r="2" spans="1:1" x14ac:dyDescent="0.3">
      <c r="A2" s="7"/>
    </row>
    <row r="3" spans="1:1" x14ac:dyDescent="0.3">
      <c r="A3" s="7" t="s">
        <v>35</v>
      </c>
    </row>
    <row r="4" spans="1:1" x14ac:dyDescent="0.3">
      <c r="A4" s="7" t="s">
        <v>36</v>
      </c>
    </row>
    <row r="5" spans="1:1" x14ac:dyDescent="0.3">
      <c r="A5" s="7" t="s">
        <v>37</v>
      </c>
    </row>
    <row r="6" spans="1:1" x14ac:dyDescent="0.3">
      <c r="A6" s="7" t="s">
        <v>38</v>
      </c>
    </row>
    <row r="7" spans="1:1" x14ac:dyDescent="0.3">
      <c r="A7" s="7" t="s">
        <v>39</v>
      </c>
    </row>
  </sheetData>
  <pageMargins left="0.25" right="0.25" top="0.75" bottom="0.75" header="0.3" footer="0.3"/>
  <pageSetup paperSize="12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DE461-45AF-4996-82DD-FEEDDADF03D0}">
  <sheetPr>
    <tabColor theme="7" tint="0.79998168889431442"/>
  </sheetPr>
  <dimension ref="B1:J54"/>
  <sheetViews>
    <sheetView topLeftCell="A34" zoomScale="130" zoomScaleNormal="130" workbookViewId="0">
      <selection activeCell="C61" sqref="C61"/>
    </sheetView>
  </sheetViews>
  <sheetFormatPr baseColWidth="10" defaultRowHeight="14.4" x14ac:dyDescent="0.3"/>
  <sheetData>
    <row r="1" spans="2:10" ht="15" customHeight="1" x14ac:dyDescent="0.3">
      <c r="B1" s="39" t="s">
        <v>66</v>
      </c>
      <c r="C1" s="39"/>
      <c r="D1" s="39"/>
      <c r="E1" s="39"/>
      <c r="F1" s="39"/>
      <c r="G1" s="39"/>
      <c r="H1" s="39"/>
      <c r="I1" s="39"/>
      <c r="J1" s="6"/>
    </row>
    <row r="2" spans="2:10" x14ac:dyDescent="0.3">
      <c r="B2" s="39"/>
      <c r="C2" s="39"/>
      <c r="D2" s="39"/>
      <c r="E2" s="39"/>
      <c r="F2" s="39"/>
      <c r="G2" s="39"/>
      <c r="H2" s="39"/>
      <c r="I2" s="39"/>
      <c r="J2" s="6"/>
    </row>
    <row r="3" spans="2:10" x14ac:dyDescent="0.3">
      <c r="B3" s="39"/>
      <c r="C3" s="39"/>
      <c r="D3" s="39"/>
      <c r="E3" s="39"/>
      <c r="F3" s="39"/>
      <c r="G3" s="39"/>
      <c r="H3" s="39"/>
      <c r="I3" s="39"/>
      <c r="J3" s="6"/>
    </row>
    <row r="4" spans="2:10" x14ac:dyDescent="0.3">
      <c r="B4" s="39"/>
      <c r="C4" s="39"/>
      <c r="D4" s="39"/>
      <c r="E4" s="39"/>
      <c r="F4" s="39"/>
      <c r="G4" s="39"/>
      <c r="H4" s="39"/>
      <c r="I4" s="39"/>
      <c r="J4" s="6"/>
    </row>
    <row r="5" spans="2:10" x14ac:dyDescent="0.3">
      <c r="B5" s="39"/>
      <c r="C5" s="39"/>
      <c r="D5" s="39"/>
      <c r="E5" s="39"/>
      <c r="F5" s="39"/>
      <c r="G5" s="39"/>
      <c r="H5" s="39"/>
      <c r="I5" s="39"/>
      <c r="J5" s="6"/>
    </row>
    <row r="6" spans="2:10" x14ac:dyDescent="0.3">
      <c r="B6" s="39"/>
      <c r="C6" s="39"/>
      <c r="D6" s="39"/>
      <c r="E6" s="39"/>
      <c r="F6" s="39"/>
      <c r="G6" s="39"/>
      <c r="H6" s="39"/>
      <c r="I6" s="39"/>
      <c r="J6" s="6"/>
    </row>
    <row r="7" spans="2:10" ht="15" customHeight="1" x14ac:dyDescent="0.3">
      <c r="B7" s="39"/>
      <c r="C7" s="39"/>
      <c r="D7" s="39"/>
      <c r="E7" s="39"/>
      <c r="F7" s="39"/>
      <c r="G7" s="39"/>
      <c r="H7" s="39"/>
      <c r="I7" s="39"/>
      <c r="J7" s="6"/>
    </row>
    <row r="8" spans="2:10" x14ac:dyDescent="0.3">
      <c r="B8" s="39"/>
      <c r="C8" s="39"/>
      <c r="D8" s="39"/>
      <c r="E8" s="39"/>
      <c r="F8" s="39"/>
      <c r="G8" s="39"/>
      <c r="H8" s="39"/>
      <c r="I8" s="39"/>
      <c r="J8" s="6"/>
    </row>
    <row r="9" spans="2:10" x14ac:dyDescent="0.3">
      <c r="B9" s="39"/>
      <c r="C9" s="39"/>
      <c r="D9" s="39"/>
      <c r="E9" s="39"/>
      <c r="F9" s="39"/>
      <c r="G9" s="39"/>
      <c r="H9" s="39"/>
      <c r="I9" s="39"/>
      <c r="J9" s="6"/>
    </row>
    <row r="10" spans="2:10" x14ac:dyDescent="0.3">
      <c r="B10" s="39"/>
      <c r="C10" s="39"/>
      <c r="D10" s="39"/>
      <c r="E10" s="39"/>
      <c r="F10" s="39"/>
      <c r="G10" s="39"/>
      <c r="H10" s="39"/>
      <c r="I10" s="39"/>
      <c r="J10" s="6"/>
    </row>
    <row r="11" spans="2:10" x14ac:dyDescent="0.3">
      <c r="B11" s="39"/>
      <c r="C11" s="39"/>
      <c r="D11" s="39"/>
      <c r="E11" s="39"/>
      <c r="F11" s="39"/>
      <c r="G11" s="39"/>
      <c r="H11" s="39"/>
      <c r="I11" s="39"/>
      <c r="J11" s="6"/>
    </row>
    <row r="12" spans="2:10" x14ac:dyDescent="0.3">
      <c r="B12" s="39"/>
      <c r="C12" s="39"/>
      <c r="D12" s="39"/>
      <c r="E12" s="39"/>
      <c r="F12" s="39"/>
      <c r="G12" s="39"/>
      <c r="H12" s="39"/>
      <c r="I12" s="39"/>
      <c r="J12" s="6"/>
    </row>
    <row r="13" spans="2:10" ht="15" customHeight="1" x14ac:dyDescent="0.3">
      <c r="B13" s="39"/>
      <c r="C13" s="39"/>
      <c r="D13" s="39"/>
      <c r="E13" s="39"/>
      <c r="F13" s="39"/>
      <c r="G13" s="39"/>
      <c r="H13" s="39"/>
      <c r="I13" s="39"/>
      <c r="J13" s="6"/>
    </row>
    <row r="14" spans="2:10" x14ac:dyDescent="0.3">
      <c r="B14" s="39"/>
      <c r="C14" s="39"/>
      <c r="D14" s="39"/>
      <c r="E14" s="39"/>
      <c r="F14" s="39"/>
      <c r="G14" s="39"/>
      <c r="H14" s="39"/>
      <c r="I14" s="39"/>
      <c r="J14" s="6"/>
    </row>
    <row r="15" spans="2:10" x14ac:dyDescent="0.3">
      <c r="B15" s="39"/>
      <c r="C15" s="39"/>
      <c r="D15" s="39"/>
      <c r="E15" s="39"/>
      <c r="F15" s="39"/>
      <c r="G15" s="39"/>
      <c r="H15" s="39"/>
      <c r="I15" s="39"/>
      <c r="J15" s="6"/>
    </row>
    <row r="16" spans="2:10" x14ac:dyDescent="0.3">
      <c r="B16" s="39"/>
      <c r="C16" s="39"/>
      <c r="D16" s="39"/>
      <c r="E16" s="39"/>
      <c r="F16" s="39"/>
      <c r="G16" s="39"/>
      <c r="H16" s="39"/>
      <c r="I16" s="39"/>
      <c r="J16" s="6"/>
    </row>
    <row r="17" spans="2:10" x14ac:dyDescent="0.3">
      <c r="B17" s="39"/>
      <c r="C17" s="39"/>
      <c r="D17" s="39"/>
      <c r="E17" s="39"/>
      <c r="F17" s="39"/>
      <c r="G17" s="39"/>
      <c r="H17" s="39"/>
      <c r="I17" s="39"/>
      <c r="J17" s="6"/>
    </row>
    <row r="18" spans="2:10" x14ac:dyDescent="0.3">
      <c r="B18" s="39"/>
      <c r="C18" s="39"/>
      <c r="D18" s="39"/>
      <c r="E18" s="39"/>
      <c r="F18" s="39"/>
      <c r="G18" s="39"/>
      <c r="H18" s="39"/>
      <c r="I18" s="39"/>
      <c r="J18" s="6"/>
    </row>
    <row r="19" spans="2:10" ht="15" customHeight="1" x14ac:dyDescent="0.3">
      <c r="B19" s="39"/>
      <c r="C19" s="39"/>
      <c r="D19" s="39"/>
      <c r="E19" s="39"/>
      <c r="F19" s="39"/>
      <c r="G19" s="39"/>
      <c r="H19" s="39"/>
      <c r="I19" s="39"/>
      <c r="J19" s="6"/>
    </row>
    <row r="20" spans="2:10" x14ac:dyDescent="0.3">
      <c r="B20" s="39"/>
      <c r="C20" s="39"/>
      <c r="D20" s="39"/>
      <c r="E20" s="39"/>
      <c r="F20" s="39"/>
      <c r="G20" s="39"/>
      <c r="H20" s="39"/>
      <c r="I20" s="39"/>
      <c r="J20" s="6"/>
    </row>
    <row r="21" spans="2:10" x14ac:dyDescent="0.3">
      <c r="B21" s="39"/>
      <c r="C21" s="39"/>
      <c r="D21" s="39"/>
      <c r="E21" s="39"/>
      <c r="F21" s="39"/>
      <c r="G21" s="39"/>
      <c r="H21" s="39"/>
      <c r="I21" s="39"/>
      <c r="J21" s="6"/>
    </row>
    <row r="22" spans="2:10" x14ac:dyDescent="0.3">
      <c r="B22" s="39"/>
      <c r="C22" s="39"/>
      <c r="D22" s="39"/>
      <c r="E22" s="39"/>
      <c r="F22" s="39"/>
      <c r="G22" s="39"/>
      <c r="H22" s="39"/>
      <c r="I22" s="39"/>
      <c r="J22" s="6"/>
    </row>
    <row r="23" spans="2:10" x14ac:dyDescent="0.3">
      <c r="B23" s="39"/>
      <c r="C23" s="39"/>
      <c r="D23" s="39"/>
      <c r="E23" s="39"/>
      <c r="F23" s="39"/>
      <c r="G23" s="39"/>
      <c r="H23" s="39"/>
      <c r="I23" s="39"/>
      <c r="J23" s="6"/>
    </row>
    <row r="24" spans="2:10" x14ac:dyDescent="0.3">
      <c r="B24" s="39"/>
      <c r="C24" s="39"/>
      <c r="D24" s="39"/>
      <c r="E24" s="39"/>
      <c r="F24" s="39"/>
      <c r="G24" s="39"/>
      <c r="H24" s="39"/>
      <c r="I24" s="39"/>
      <c r="J24" s="6"/>
    </row>
    <row r="25" spans="2:10" ht="15" customHeight="1" x14ac:dyDescent="0.3">
      <c r="B25" s="39"/>
      <c r="C25" s="39"/>
      <c r="D25" s="39"/>
      <c r="E25" s="39"/>
      <c r="F25" s="39"/>
      <c r="G25" s="39"/>
      <c r="H25" s="39"/>
      <c r="I25" s="39"/>
      <c r="J25" s="6"/>
    </row>
    <row r="26" spans="2:10" x14ac:dyDescent="0.3">
      <c r="B26" s="39"/>
      <c r="C26" s="39"/>
      <c r="D26" s="39"/>
      <c r="E26" s="39"/>
      <c r="F26" s="39"/>
      <c r="G26" s="39"/>
      <c r="H26" s="39"/>
      <c r="I26" s="39"/>
      <c r="J26" s="6"/>
    </row>
    <row r="27" spans="2:10" x14ac:dyDescent="0.3">
      <c r="B27" s="39"/>
      <c r="C27" s="39"/>
      <c r="D27" s="39"/>
      <c r="E27" s="39"/>
      <c r="F27" s="39"/>
      <c r="G27" s="39"/>
      <c r="H27" s="39"/>
      <c r="I27" s="39"/>
      <c r="J27" s="6"/>
    </row>
    <row r="28" spans="2:10" x14ac:dyDescent="0.3">
      <c r="B28" s="39"/>
      <c r="C28" s="39"/>
      <c r="D28" s="39"/>
      <c r="E28" s="39"/>
      <c r="F28" s="39"/>
      <c r="G28" s="39"/>
      <c r="H28" s="39"/>
      <c r="I28" s="39"/>
      <c r="J28" s="6"/>
    </row>
    <row r="29" spans="2:10" x14ac:dyDescent="0.3">
      <c r="B29" s="39"/>
      <c r="C29" s="39"/>
      <c r="D29" s="39"/>
      <c r="E29" s="39"/>
      <c r="F29" s="39"/>
      <c r="G29" s="39"/>
      <c r="H29" s="39"/>
      <c r="I29" s="39"/>
      <c r="J29" s="6"/>
    </row>
    <row r="30" spans="2:10" x14ac:dyDescent="0.3">
      <c r="B30" s="39"/>
      <c r="C30" s="39"/>
      <c r="D30" s="39"/>
      <c r="E30" s="39"/>
      <c r="F30" s="39"/>
      <c r="G30" s="39"/>
      <c r="H30" s="39"/>
      <c r="I30" s="39"/>
      <c r="J30" s="6"/>
    </row>
    <row r="31" spans="2:10" ht="15" customHeight="1" x14ac:dyDescent="0.3">
      <c r="B31" s="39"/>
      <c r="C31" s="39"/>
      <c r="D31" s="39"/>
      <c r="E31" s="39"/>
      <c r="F31" s="39"/>
      <c r="G31" s="39"/>
      <c r="H31" s="39"/>
      <c r="I31" s="39"/>
      <c r="J31" s="6"/>
    </row>
    <row r="32" spans="2:10" x14ac:dyDescent="0.3">
      <c r="B32" s="39"/>
      <c r="C32" s="39"/>
      <c r="D32" s="39"/>
      <c r="E32" s="39"/>
      <c r="F32" s="39"/>
      <c r="G32" s="39"/>
      <c r="H32" s="39"/>
      <c r="I32" s="39"/>
      <c r="J32" s="6"/>
    </row>
    <row r="33" spans="2:10" x14ac:dyDescent="0.3">
      <c r="B33" s="39"/>
      <c r="C33" s="39"/>
      <c r="D33" s="39"/>
      <c r="E33" s="39"/>
      <c r="F33" s="39"/>
      <c r="G33" s="39"/>
      <c r="H33" s="39"/>
      <c r="I33" s="39"/>
      <c r="J33" s="6"/>
    </row>
    <row r="34" spans="2:10" x14ac:dyDescent="0.3">
      <c r="B34" s="39"/>
      <c r="C34" s="39"/>
      <c r="D34" s="39"/>
      <c r="E34" s="39"/>
      <c r="F34" s="39"/>
      <c r="G34" s="39"/>
      <c r="H34" s="39"/>
      <c r="I34" s="39"/>
      <c r="J34" s="6"/>
    </row>
    <row r="35" spans="2:10" x14ac:dyDescent="0.3">
      <c r="B35" s="39"/>
      <c r="C35" s="39"/>
      <c r="D35" s="39"/>
      <c r="E35" s="39"/>
      <c r="F35" s="39"/>
      <c r="G35" s="39"/>
      <c r="H35" s="39"/>
      <c r="I35" s="39"/>
      <c r="J35" s="6"/>
    </row>
    <row r="36" spans="2:10" x14ac:dyDescent="0.3">
      <c r="B36" s="39"/>
      <c r="C36" s="39"/>
      <c r="D36" s="39"/>
      <c r="E36" s="39"/>
      <c r="F36" s="39"/>
      <c r="G36" s="39"/>
      <c r="H36" s="39"/>
      <c r="I36" s="39"/>
      <c r="J36" s="6"/>
    </row>
    <row r="37" spans="2:10" ht="15" customHeight="1" x14ac:dyDescent="0.3">
      <c r="B37" s="39"/>
      <c r="C37" s="39"/>
      <c r="D37" s="39"/>
      <c r="E37" s="39"/>
      <c r="F37" s="39"/>
      <c r="G37" s="39"/>
      <c r="H37" s="39"/>
      <c r="I37" s="39"/>
      <c r="J37" s="6"/>
    </row>
    <row r="38" spans="2:10" x14ac:dyDescent="0.3">
      <c r="B38" s="39"/>
      <c r="C38" s="39"/>
      <c r="D38" s="39"/>
      <c r="E38" s="39"/>
      <c r="F38" s="39"/>
      <c r="G38" s="39"/>
      <c r="H38" s="39"/>
      <c r="I38" s="39"/>
      <c r="J38" s="6"/>
    </row>
    <row r="39" spans="2:10" x14ac:dyDescent="0.3">
      <c r="B39" s="39"/>
      <c r="C39" s="39"/>
      <c r="D39" s="39"/>
      <c r="E39" s="39"/>
      <c r="F39" s="39"/>
      <c r="G39" s="39"/>
      <c r="H39" s="39"/>
      <c r="I39" s="39"/>
      <c r="J39" s="6"/>
    </row>
    <row r="40" spans="2:10" x14ac:dyDescent="0.3">
      <c r="B40" s="39"/>
      <c r="C40" s="39"/>
      <c r="D40" s="39"/>
      <c r="E40" s="39"/>
      <c r="F40" s="39"/>
      <c r="G40" s="39"/>
      <c r="H40" s="39"/>
      <c r="I40" s="39"/>
      <c r="J40" s="6"/>
    </row>
    <row r="41" spans="2:10" x14ac:dyDescent="0.3">
      <c r="B41" s="39"/>
      <c r="C41" s="39"/>
      <c r="D41" s="39"/>
      <c r="E41" s="39"/>
      <c r="F41" s="39"/>
      <c r="G41" s="39"/>
      <c r="H41" s="39"/>
      <c r="I41" s="39"/>
      <c r="J41" s="6"/>
    </row>
    <row r="42" spans="2:10" x14ac:dyDescent="0.3">
      <c r="B42" s="39"/>
      <c r="C42" s="39"/>
      <c r="D42" s="39"/>
      <c r="E42" s="39"/>
      <c r="F42" s="39"/>
      <c r="G42" s="39"/>
      <c r="H42" s="39"/>
      <c r="I42" s="39"/>
      <c r="J42" s="6"/>
    </row>
    <row r="43" spans="2:10" ht="15" customHeight="1" x14ac:dyDescent="0.3">
      <c r="B43" s="39"/>
      <c r="C43" s="39"/>
      <c r="D43" s="39"/>
      <c r="E43" s="39"/>
      <c r="F43" s="39"/>
      <c r="G43" s="39"/>
      <c r="H43" s="39"/>
      <c r="I43" s="39"/>
      <c r="J43" s="6"/>
    </row>
    <row r="44" spans="2:10" x14ac:dyDescent="0.3">
      <c r="B44" s="39"/>
      <c r="C44" s="39"/>
      <c r="D44" s="39"/>
      <c r="E44" s="39"/>
      <c r="F44" s="39"/>
      <c r="G44" s="39"/>
      <c r="H44" s="39"/>
      <c r="I44" s="39"/>
      <c r="J44" s="6"/>
    </row>
    <row r="45" spans="2:10" x14ac:dyDescent="0.3">
      <c r="B45" s="39"/>
      <c r="C45" s="39"/>
      <c r="D45" s="39"/>
      <c r="E45" s="39"/>
      <c r="F45" s="39"/>
      <c r="G45" s="39"/>
      <c r="H45" s="39"/>
      <c r="I45" s="39"/>
      <c r="J45" s="6"/>
    </row>
    <row r="46" spans="2:10" x14ac:dyDescent="0.3">
      <c r="B46" s="39"/>
      <c r="C46" s="39"/>
      <c r="D46" s="39"/>
      <c r="E46" s="39"/>
      <c r="F46" s="39"/>
      <c r="G46" s="39"/>
      <c r="H46" s="39"/>
      <c r="I46" s="39"/>
      <c r="J46" s="6"/>
    </row>
    <row r="47" spans="2:10" x14ac:dyDescent="0.3">
      <c r="B47" s="39"/>
      <c r="C47" s="39"/>
      <c r="D47" s="39"/>
      <c r="E47" s="39"/>
      <c r="F47" s="39"/>
      <c r="G47" s="39"/>
      <c r="H47" s="39"/>
      <c r="I47" s="39"/>
      <c r="J47" s="6"/>
    </row>
    <row r="48" spans="2:10" x14ac:dyDescent="0.3">
      <c r="B48" s="39"/>
      <c r="C48" s="39"/>
      <c r="D48" s="39"/>
      <c r="E48" s="39"/>
      <c r="F48" s="39"/>
      <c r="G48" s="39"/>
      <c r="H48" s="39"/>
      <c r="I48" s="39"/>
      <c r="J48" s="6"/>
    </row>
    <row r="49" spans="2:10" ht="15" customHeight="1" x14ac:dyDescent="0.3">
      <c r="B49" s="39"/>
      <c r="C49" s="39"/>
      <c r="D49" s="39"/>
      <c r="E49" s="39"/>
      <c r="F49" s="39"/>
      <c r="G49" s="39"/>
      <c r="H49" s="39"/>
      <c r="I49" s="39"/>
      <c r="J49" s="6"/>
    </row>
    <row r="50" spans="2:10" x14ac:dyDescent="0.3">
      <c r="B50" s="39"/>
      <c r="C50" s="39"/>
      <c r="D50" s="39"/>
      <c r="E50" s="39"/>
      <c r="F50" s="39"/>
      <c r="G50" s="39"/>
      <c r="H50" s="39"/>
      <c r="I50" s="39"/>
      <c r="J50" s="6"/>
    </row>
    <row r="51" spans="2:10" x14ac:dyDescent="0.3">
      <c r="B51" s="39"/>
      <c r="C51" s="39"/>
      <c r="D51" s="39"/>
      <c r="E51" s="39"/>
      <c r="F51" s="39"/>
      <c r="G51" s="39"/>
      <c r="H51" s="39"/>
      <c r="I51" s="39"/>
      <c r="J51" s="6"/>
    </row>
    <row r="52" spans="2:10" x14ac:dyDescent="0.3">
      <c r="B52" s="39"/>
      <c r="C52" s="39"/>
      <c r="D52" s="39"/>
      <c r="E52" s="39"/>
      <c r="F52" s="39"/>
      <c r="G52" s="39"/>
      <c r="H52" s="39"/>
      <c r="I52" s="39"/>
      <c r="J52" s="6"/>
    </row>
    <row r="53" spans="2:10" x14ac:dyDescent="0.3">
      <c r="B53" s="39"/>
      <c r="C53" s="39"/>
      <c r="D53" s="39"/>
      <c r="E53" s="39"/>
      <c r="F53" s="39"/>
      <c r="G53" s="39"/>
      <c r="H53" s="39"/>
      <c r="I53" s="39"/>
      <c r="J53" s="6"/>
    </row>
    <row r="54" spans="2:10" x14ac:dyDescent="0.3">
      <c r="B54" s="39"/>
      <c r="C54" s="39"/>
      <c r="D54" s="39"/>
      <c r="E54" s="39"/>
      <c r="F54" s="39"/>
      <c r="G54" s="39"/>
      <c r="H54" s="39"/>
      <c r="I54" s="39"/>
    </row>
  </sheetData>
  <mergeCells count="1">
    <mergeCell ref="B1:I54"/>
  </mergeCells>
  <pageMargins left="0.25" right="0.25" top="0.75" bottom="0.75" header="0.3" footer="0.3"/>
  <pageSetup paperSize="122" scale="8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52EF-FD4B-4C79-BDFE-B62C51428249}">
  <sheetPr>
    <tabColor rgb="FF00B0F0"/>
  </sheetPr>
  <dimension ref="A1:M57"/>
  <sheetViews>
    <sheetView zoomScale="70" zoomScaleNormal="70" workbookViewId="0">
      <selection activeCell="O9" sqref="O9"/>
    </sheetView>
  </sheetViews>
  <sheetFormatPr baseColWidth="10" defaultRowHeight="14.4" x14ac:dyDescent="0.3"/>
  <cols>
    <col min="1" max="1" width="31.6640625" customWidth="1"/>
    <col min="2" max="2" width="50.5546875" customWidth="1"/>
    <col min="3" max="3" width="19.33203125" bestFit="1" customWidth="1"/>
    <col min="4" max="4" width="19.44140625" bestFit="1" customWidth="1"/>
    <col min="5" max="5" width="17.109375" customWidth="1"/>
    <col min="6" max="6" width="16.109375" bestFit="1" customWidth="1"/>
    <col min="7" max="7" width="16.6640625" bestFit="1" customWidth="1"/>
    <col min="8" max="8" width="13.6640625" customWidth="1"/>
    <col min="9" max="9" width="14.6640625" bestFit="1" customWidth="1"/>
    <col min="10" max="10" width="14.5546875" customWidth="1"/>
    <col min="11" max="11" width="15.33203125" bestFit="1" customWidth="1"/>
    <col min="12" max="12" width="13.33203125" bestFit="1" customWidth="1"/>
    <col min="13" max="13" width="21.88671875" bestFit="1" customWidth="1"/>
  </cols>
  <sheetData>
    <row r="1" spans="1:13" ht="24" x14ac:dyDescent="0.3">
      <c r="A1" s="31" t="s">
        <v>60</v>
      </c>
    </row>
    <row r="2" spans="1:13" x14ac:dyDescent="0.3">
      <c r="A2" s="7" t="s">
        <v>55</v>
      </c>
      <c r="B2" t="s">
        <v>67</v>
      </c>
      <c r="J2" s="1"/>
      <c r="M2" s="12"/>
    </row>
    <row r="3" spans="1:13" x14ac:dyDescent="0.3">
      <c r="A3" s="7" t="s">
        <v>56</v>
      </c>
      <c r="B3" t="s">
        <v>84</v>
      </c>
      <c r="J3" s="1"/>
      <c r="M3" s="12"/>
    </row>
    <row r="4" spans="1:13" x14ac:dyDescent="0.3">
      <c r="A4" s="7" t="s">
        <v>59</v>
      </c>
      <c r="B4" s="25">
        <v>20</v>
      </c>
      <c r="J4" s="1"/>
      <c r="M4" s="12"/>
    </row>
    <row r="5" spans="1:13" x14ac:dyDescent="0.3">
      <c r="A5" s="7" t="s">
        <v>58</v>
      </c>
      <c r="B5" s="23">
        <f ca="1">TODAY()</f>
        <v>46270</v>
      </c>
      <c r="J5" s="1"/>
      <c r="M5" s="12"/>
    </row>
    <row r="6" spans="1:13" x14ac:dyDescent="0.3">
      <c r="A6" s="7" t="s">
        <v>80</v>
      </c>
      <c r="B6" s="16">
        <f ca="1">B5+(B4*7)</f>
        <v>46410</v>
      </c>
      <c r="J6" s="1"/>
      <c r="M6" s="12"/>
    </row>
    <row r="7" spans="1:13" x14ac:dyDescent="0.3">
      <c r="A7" s="7" t="s">
        <v>61</v>
      </c>
      <c r="B7" s="16">
        <f ca="1">E19</f>
        <v>46410</v>
      </c>
      <c r="J7" s="1"/>
      <c r="M7" s="12"/>
    </row>
    <row r="8" spans="1:13" ht="25.2" x14ac:dyDescent="0.3">
      <c r="A8" s="7" t="s">
        <v>68</v>
      </c>
      <c r="B8" s="28">
        <f ca="1">(B6-B7)/7</f>
        <v>0</v>
      </c>
      <c r="C8" s="13"/>
      <c r="D8" s="30" t="s">
        <v>81</v>
      </c>
      <c r="F8" s="11"/>
      <c r="G8" s="9"/>
      <c r="I8" s="36" t="s">
        <v>54</v>
      </c>
      <c r="J8" s="37"/>
      <c r="K8" s="38">
        <v>255000</v>
      </c>
    </row>
    <row r="9" spans="1:13" x14ac:dyDescent="0.3">
      <c r="A9" s="5" t="s">
        <v>51</v>
      </c>
      <c r="B9" s="5" t="s">
        <v>0</v>
      </c>
      <c r="C9" s="5" t="s">
        <v>1</v>
      </c>
      <c r="D9" s="5" t="s">
        <v>57</v>
      </c>
      <c r="E9" s="5" t="s">
        <v>62</v>
      </c>
      <c r="F9" s="5" t="s">
        <v>2</v>
      </c>
      <c r="G9" s="5" t="s">
        <v>4</v>
      </c>
      <c r="H9" s="5" t="s">
        <v>5</v>
      </c>
      <c r="I9" s="5" t="s">
        <v>6</v>
      </c>
      <c r="J9" s="5" t="s">
        <v>7</v>
      </c>
      <c r="K9" s="5" t="s">
        <v>8</v>
      </c>
      <c r="L9" s="5" t="s">
        <v>3</v>
      </c>
      <c r="M9" s="5" t="s">
        <v>53</v>
      </c>
    </row>
    <row r="10" spans="1:13" ht="24" x14ac:dyDescent="0.3">
      <c r="A10" s="1">
        <v>1</v>
      </c>
      <c r="B10" s="15" t="str" cm="1">
        <f t="array" ref="B10">_xlfn.XLOOKUP(Cambios[[#This Row],[No.]],Tabla1[[#All],[Columna1]],Tabla1[[#All],[Columna2]],,0,)</f>
        <v>Estandarizar el proceso de solicitud y aprobación de cambios para el desarrollo de la aplicación móvil.</v>
      </c>
      <c r="C10" s="24">
        <f ca="1">B5</f>
        <v>46270</v>
      </c>
      <c r="D10" s="22">
        <v>1</v>
      </c>
      <c r="E10" s="29">
        <f ca="1">B5+(D10*7)</f>
        <v>46277</v>
      </c>
      <c r="F10" s="17" t="s">
        <v>65</v>
      </c>
      <c r="G10" s="17" t="s">
        <v>10</v>
      </c>
      <c r="H10" s="17" t="s">
        <v>15</v>
      </c>
      <c r="I10" s="17" t="s">
        <v>18</v>
      </c>
      <c r="J10" s="17" t="s">
        <v>23</v>
      </c>
      <c r="K10" s="17" t="s">
        <v>24</v>
      </c>
      <c r="L10" s="18">
        <v>15000</v>
      </c>
      <c r="M10" s="19">
        <f>$K$8-Cambios[[#This Row],[Costo]]</f>
        <v>240000</v>
      </c>
    </row>
    <row r="11" spans="1:13" ht="24" x14ac:dyDescent="0.3">
      <c r="A11" s="1">
        <v>2</v>
      </c>
      <c r="B11" s="15" t="str" cm="1">
        <f t="array" ref="B11">_xlfn.XLOOKUP(Cambios[[#This Row],[No.]],Tabla1[[#All],[Columna1]],Tabla1[[#All],[Columna2]],,0,)</f>
        <v>Ajustar los requisitos funcionales de la aplicación para incorporar comercio electrónico y pagos en línea.</v>
      </c>
      <c r="C11" s="24">
        <f ca="1">E10</f>
        <v>46277</v>
      </c>
      <c r="D11" s="22">
        <v>3</v>
      </c>
      <c r="E11" s="29">
        <f ca="1">C11+(D11*7)</f>
        <v>46298</v>
      </c>
      <c r="F11" s="17" t="s">
        <v>63</v>
      </c>
      <c r="G11" s="17" t="s">
        <v>11</v>
      </c>
      <c r="H11" s="17" t="s">
        <v>15</v>
      </c>
      <c r="I11" s="17" t="s">
        <v>19</v>
      </c>
      <c r="J11" s="17" t="s">
        <v>20</v>
      </c>
      <c r="K11" s="17" t="s">
        <v>14</v>
      </c>
      <c r="L11" s="18">
        <v>45000</v>
      </c>
      <c r="M11" s="19">
        <f>M10-Cambios[[#This Row],[Costo]]</f>
        <v>195000</v>
      </c>
    </row>
    <row r="12" spans="1:13" ht="24" x14ac:dyDescent="0.3">
      <c r="A12" s="1">
        <v>3</v>
      </c>
      <c r="B12" s="15" t="str" cm="1">
        <f t="array" ref="B12">_xlfn.XLOOKUP(Cambios[[#This Row],[No.]],Tabla1[[#All],[Columna1]],Tabla1[[#All],[Columna2]],,0,)</f>
        <v>Implementar un sistema de autenticación segura con inicio de sesión mediante correo electrónico y redes sociales.</v>
      </c>
      <c r="C12" s="24">
        <f t="shared" ref="C12:C19" ca="1" si="0">E11</f>
        <v>46298</v>
      </c>
      <c r="D12" s="22">
        <v>2</v>
      </c>
      <c r="E12" s="29">
        <f t="shared" ref="E12:E19" ca="1" si="1">C12+(D12*7)</f>
        <v>46312</v>
      </c>
      <c r="F12" s="17" t="s">
        <v>52</v>
      </c>
      <c r="G12" s="17" t="s">
        <v>12</v>
      </c>
      <c r="H12" s="17" t="s">
        <v>13</v>
      </c>
      <c r="I12" s="17" t="s">
        <v>19</v>
      </c>
      <c r="J12" s="17" t="s">
        <v>21</v>
      </c>
      <c r="K12" s="17" t="s">
        <v>15</v>
      </c>
      <c r="L12" s="18">
        <v>20000</v>
      </c>
      <c r="M12" s="19">
        <f>M11-Cambios[[#This Row],[Costo]]</f>
        <v>175000</v>
      </c>
    </row>
    <row r="13" spans="1:13" ht="24" x14ac:dyDescent="0.3">
      <c r="A13" s="1">
        <v>4</v>
      </c>
      <c r="B13" s="15" t="str" cm="1">
        <f t="array" ref="B13">_xlfn.XLOOKUP(Cambios[[#This Row],[No.]],Tabla1[[#All],[Columna1]],Tabla1[[#All],[Columna2]],,0,)</f>
        <v>Redefinir los roles y responsabilidades del equipo del proyecto para mejorar la gestión y comunicación interna.</v>
      </c>
      <c r="C13" s="24">
        <f t="shared" ca="1" si="0"/>
        <v>46312</v>
      </c>
      <c r="D13" s="22">
        <v>1</v>
      </c>
      <c r="E13" s="29">
        <f t="shared" ca="1" si="1"/>
        <v>46319</v>
      </c>
      <c r="F13" s="17" t="s">
        <v>52</v>
      </c>
      <c r="G13" s="17" t="s">
        <v>11</v>
      </c>
      <c r="H13" s="17" t="s">
        <v>32</v>
      </c>
      <c r="I13" s="17" t="s">
        <v>16</v>
      </c>
      <c r="J13" s="17" t="s">
        <v>22</v>
      </c>
      <c r="K13" s="17" t="s">
        <v>13</v>
      </c>
      <c r="L13" s="18">
        <v>15000</v>
      </c>
      <c r="M13" s="19">
        <f>M12-Cambios[[#This Row],[Costo]]</f>
        <v>160000</v>
      </c>
    </row>
    <row r="14" spans="1:13" ht="24" x14ac:dyDescent="0.3">
      <c r="A14" s="1">
        <v>5</v>
      </c>
      <c r="B14" s="15" t="str" cm="1">
        <f t="array" ref="B14">_xlfn.XLOOKUP(Cambios[[#This Row],[No.]],Tabla1[[#All],[Columna1]],Tabla1[[#All],[Columna2]],,0,)</f>
        <v>Incorporar un módulo de atención al cliente con chat en vivo, FAQ y base de conocimientos.</v>
      </c>
      <c r="C14" s="24">
        <f t="shared" ca="1" si="0"/>
        <v>46319</v>
      </c>
      <c r="D14" s="22">
        <v>2</v>
      </c>
      <c r="E14" s="29">
        <f t="shared" ca="1" si="1"/>
        <v>46333</v>
      </c>
      <c r="F14" s="17" t="s">
        <v>64</v>
      </c>
      <c r="G14" s="17" t="s">
        <v>10</v>
      </c>
      <c r="H14" s="17" t="s">
        <v>13</v>
      </c>
      <c r="I14" s="17" t="s">
        <v>17</v>
      </c>
      <c r="J14" s="17" t="s">
        <v>21</v>
      </c>
      <c r="K14" s="17" t="s">
        <v>14</v>
      </c>
      <c r="L14" s="18">
        <v>32000</v>
      </c>
      <c r="M14" s="19">
        <f>M13-Cambios[[#This Row],[Costo]]</f>
        <v>128000</v>
      </c>
    </row>
    <row r="15" spans="1:13" ht="24" x14ac:dyDescent="0.3">
      <c r="A15" s="1">
        <v>6</v>
      </c>
      <c r="B15" s="15" t="str" cm="1">
        <f t="array" ref="B15">_xlfn.XLOOKUP(Cambios[[#This Row],[No.]],Tabla1[[#All],[Columna1]],Tabla1[[#All],[Columna2]],,0,)</f>
        <v>Modificar el diseño de la interfaz de usuario para asegurar una navegación intuitiva y alineada con la identidad de marca.</v>
      </c>
      <c r="C15" s="24">
        <f t="shared" ca="1" si="0"/>
        <v>46333</v>
      </c>
      <c r="D15" s="22">
        <v>3</v>
      </c>
      <c r="E15" s="29">
        <f t="shared" ca="1" si="1"/>
        <v>46354</v>
      </c>
      <c r="F15" s="17" t="s">
        <v>65</v>
      </c>
      <c r="G15" s="17" t="s">
        <v>10</v>
      </c>
      <c r="H15" s="17" t="s">
        <v>32</v>
      </c>
      <c r="I15" s="17" t="s">
        <v>17</v>
      </c>
      <c r="J15" s="17" t="s">
        <v>20</v>
      </c>
      <c r="K15" s="17" t="s">
        <v>13</v>
      </c>
      <c r="L15" s="18">
        <v>40000</v>
      </c>
      <c r="M15" s="19">
        <f>M14-Cambios[[#This Row],[Costo]]</f>
        <v>88000</v>
      </c>
    </row>
    <row r="16" spans="1:13" ht="24" x14ac:dyDescent="0.3">
      <c r="A16" s="1">
        <v>7</v>
      </c>
      <c r="B16" s="15" t="str" cm="1">
        <f t="array" ref="B16">_xlfn.XLOOKUP(Cambios[[#This Row],[No.]],Tabla1[[#All],[Columna1]],Tabla1[[#All],[Columna2]],,0,)</f>
        <v>Integrar un programa de lealtad basado en puntos y recompensas dentro de la aplicación.</v>
      </c>
      <c r="C16" s="24">
        <f t="shared" ca="1" si="0"/>
        <v>46354</v>
      </c>
      <c r="D16" s="22">
        <v>2</v>
      </c>
      <c r="E16" s="29">
        <f t="shared" ca="1" si="1"/>
        <v>46368</v>
      </c>
      <c r="F16" s="17" t="s">
        <v>52</v>
      </c>
      <c r="G16" s="17" t="s">
        <v>10</v>
      </c>
      <c r="H16" s="17" t="s">
        <v>15</v>
      </c>
      <c r="I16" s="17" t="s">
        <v>17</v>
      </c>
      <c r="J16" s="17" t="s">
        <v>20</v>
      </c>
      <c r="K16" s="17" t="s">
        <v>15</v>
      </c>
      <c r="L16" s="18">
        <v>18000</v>
      </c>
      <c r="M16" s="19">
        <f>M15-Cambios[[#This Row],[Costo]]</f>
        <v>70000</v>
      </c>
    </row>
    <row r="17" spans="1:13" ht="24" x14ac:dyDescent="0.3">
      <c r="A17" s="1">
        <v>8</v>
      </c>
      <c r="B17" s="15" t="str" cm="1">
        <f t="array" ref="B17">_xlfn.XLOOKUP(Cambios[[#This Row],[No.]],Tabla1[[#All],[Columna1]],Tabla1[[#All],[Columna2]],,0,)</f>
        <v>Realizar capacitación al personal en el uso del sistema de gestión de cambios y nuevas funcionalidades de la app.</v>
      </c>
      <c r="C17" s="24">
        <f t="shared" ca="1" si="0"/>
        <v>46368</v>
      </c>
      <c r="D17" s="22">
        <v>2</v>
      </c>
      <c r="E17" s="29">
        <f t="shared" ca="1" si="1"/>
        <v>46382</v>
      </c>
      <c r="F17" s="17" t="s">
        <v>64</v>
      </c>
      <c r="G17" s="17" t="s">
        <v>11</v>
      </c>
      <c r="H17" s="17" t="s">
        <v>32</v>
      </c>
      <c r="I17" s="17" t="s">
        <v>17</v>
      </c>
      <c r="J17" s="17" t="s">
        <v>23</v>
      </c>
      <c r="K17" s="17" t="s">
        <v>14</v>
      </c>
      <c r="L17" s="18">
        <v>30000</v>
      </c>
      <c r="M17" s="19">
        <f>M16-Cambios[[#This Row],[Costo]]</f>
        <v>40000</v>
      </c>
    </row>
    <row r="18" spans="1:13" ht="24" x14ac:dyDescent="0.3">
      <c r="A18" s="1">
        <v>9</v>
      </c>
      <c r="B18" s="15" t="str" cm="1">
        <f t="array" ref="B18">_xlfn.XLOOKUP(Cambios[[#This Row],[No.]],Tabla1[[#All],[Columna1]],Tabla1[[#All],[Columna2]],,0,)</f>
        <v>Ajustar el cronograma del proyecto para incluir una fase de pruebas de calidad más robusta antes del lanzamiento.</v>
      </c>
      <c r="C18" s="24">
        <f t="shared" ca="1" si="0"/>
        <v>46382</v>
      </c>
      <c r="D18" s="22">
        <v>3</v>
      </c>
      <c r="E18" s="29">
        <f t="shared" ca="1" si="1"/>
        <v>46403</v>
      </c>
      <c r="F18" s="17" t="s">
        <v>65</v>
      </c>
      <c r="G18" s="17" t="s">
        <v>10</v>
      </c>
      <c r="H18" s="17" t="s">
        <v>13</v>
      </c>
      <c r="I18" s="17" t="s">
        <v>17</v>
      </c>
      <c r="J18" s="17" t="s">
        <v>20</v>
      </c>
      <c r="K18" s="17" t="s">
        <v>15</v>
      </c>
      <c r="L18" s="18">
        <v>10000</v>
      </c>
      <c r="M18" s="19">
        <f>M17-Cambios[[#This Row],[Costo]]</f>
        <v>30000</v>
      </c>
    </row>
    <row r="19" spans="1:13" ht="24" x14ac:dyDescent="0.3">
      <c r="A19" s="1">
        <v>10</v>
      </c>
      <c r="B19" s="15" t="str" cm="1">
        <f t="array" ref="B19">_xlfn.XLOOKUP(Cambios[[#This Row],[No.]],Tabla1[[#All],[Columna1]],Tabla1[[#All],[Columna2]],,0,)</f>
        <v>Establecer un proceso formal de documentación y cierre de cambios para asegurar la mejora continua del proyecto.</v>
      </c>
      <c r="C19" s="24">
        <f t="shared" ca="1" si="0"/>
        <v>46403</v>
      </c>
      <c r="D19" s="22">
        <v>1</v>
      </c>
      <c r="E19" s="29">
        <f t="shared" ca="1" si="1"/>
        <v>46410</v>
      </c>
      <c r="F19" s="17" t="s">
        <v>63</v>
      </c>
      <c r="G19" s="17" t="s">
        <v>12</v>
      </c>
      <c r="H19" s="17" t="s">
        <v>13</v>
      </c>
      <c r="I19" s="17" t="s">
        <v>17</v>
      </c>
      <c r="J19" s="17" t="s">
        <v>20</v>
      </c>
      <c r="K19" s="17" t="s">
        <v>14</v>
      </c>
      <c r="L19" s="18">
        <v>30000</v>
      </c>
      <c r="M19" s="19">
        <f>M18-Cambios[[#This Row],[Costo]]</f>
        <v>0</v>
      </c>
    </row>
    <row r="20" spans="1:13" ht="15.6" x14ac:dyDescent="0.3">
      <c r="D20" s="10">
        <f>SUBTOTAL(109,Cambios[Duración semanas])</f>
        <v>20</v>
      </c>
      <c r="E20" s="2"/>
      <c r="F20" s="2"/>
      <c r="K20" s="1" t="s">
        <v>31</v>
      </c>
      <c r="M20" s="12">
        <f>M19</f>
        <v>0</v>
      </c>
    </row>
    <row r="21" spans="1:13" ht="15.6" x14ac:dyDescent="0.3">
      <c r="C21" s="26"/>
      <c r="D21" s="27" t="str">
        <f>IF(SUM(D10:D19)&lt;=20, "Has programado bien la planeación", "Cuidado, el máximo de semanas de planeación es 20")</f>
        <v>Has programado bien la planeación</v>
      </c>
      <c r="E21" s="21"/>
      <c r="F21" s="2"/>
      <c r="J21" s="1"/>
      <c r="M21" s="12"/>
    </row>
    <row r="22" spans="1:13" ht="24" x14ac:dyDescent="0.3">
      <c r="A22" s="31" t="s">
        <v>9</v>
      </c>
      <c r="J22" s="1"/>
      <c r="M22" s="12"/>
    </row>
    <row r="23" spans="1:13" x14ac:dyDescent="0.3">
      <c r="A23" s="8" t="s">
        <v>79</v>
      </c>
      <c r="B23" s="8" t="s">
        <v>69</v>
      </c>
      <c r="C23" s="8" t="s">
        <v>70</v>
      </c>
      <c r="D23" s="8" t="s">
        <v>71</v>
      </c>
      <c r="E23" s="8" t="s">
        <v>72</v>
      </c>
      <c r="F23" s="8" t="s">
        <v>73</v>
      </c>
      <c r="G23" s="8" t="s">
        <v>74</v>
      </c>
      <c r="H23" s="8" t="s">
        <v>75</v>
      </c>
      <c r="I23" s="8" t="s">
        <v>76</v>
      </c>
      <c r="J23" s="8" t="s">
        <v>77</v>
      </c>
      <c r="K23" s="8" t="s">
        <v>78</v>
      </c>
    </row>
    <row r="24" spans="1:13" s="35" customFormat="1" ht="9.9" customHeight="1" x14ac:dyDescent="0.2">
      <c r="A24" s="34">
        <v>1</v>
      </c>
    </row>
    <row r="25" spans="1:13" s="35" customFormat="1" ht="9.9" customHeight="1" x14ac:dyDescent="0.2">
      <c r="A25" s="34">
        <v>2</v>
      </c>
    </row>
    <row r="26" spans="1:13" s="35" customFormat="1" ht="9.9" customHeight="1" x14ac:dyDescent="0.2">
      <c r="A26" s="34">
        <v>3</v>
      </c>
    </row>
    <row r="27" spans="1:13" s="35" customFormat="1" ht="9.9" customHeight="1" x14ac:dyDescent="0.2">
      <c r="A27" s="34">
        <v>4</v>
      </c>
    </row>
    <row r="28" spans="1:13" s="35" customFormat="1" ht="9.9" customHeight="1" x14ac:dyDescent="0.2">
      <c r="A28" s="34">
        <v>5</v>
      </c>
    </row>
    <row r="29" spans="1:13" s="35" customFormat="1" ht="9.9" customHeight="1" x14ac:dyDescent="0.2">
      <c r="A29" s="34">
        <v>6</v>
      </c>
    </row>
    <row r="30" spans="1:13" s="35" customFormat="1" ht="9.9" customHeight="1" x14ac:dyDescent="0.2">
      <c r="A30" s="34">
        <v>7</v>
      </c>
    </row>
    <row r="31" spans="1:13" s="35" customFormat="1" ht="9.9" customHeight="1" x14ac:dyDescent="0.2">
      <c r="A31" s="34">
        <v>8</v>
      </c>
    </row>
    <row r="32" spans="1:13" s="35" customFormat="1" ht="9.9" customHeight="1" x14ac:dyDescent="0.2">
      <c r="A32" s="34">
        <v>9</v>
      </c>
    </row>
    <row r="33" spans="1:9" s="35" customFormat="1" ht="9.9" customHeight="1" x14ac:dyDescent="0.2">
      <c r="A33" s="34">
        <v>10</v>
      </c>
    </row>
    <row r="34" spans="1:9" s="35" customFormat="1" ht="9.9" customHeight="1" x14ac:dyDescent="0.2">
      <c r="A34" s="34">
        <v>11</v>
      </c>
    </row>
    <row r="35" spans="1:9" s="35" customFormat="1" ht="9.9" customHeight="1" x14ac:dyDescent="0.2">
      <c r="A35" s="34">
        <v>12</v>
      </c>
    </row>
    <row r="36" spans="1:9" s="35" customFormat="1" ht="9.9" customHeight="1" x14ac:dyDescent="0.2">
      <c r="A36" s="34">
        <v>13</v>
      </c>
    </row>
    <row r="37" spans="1:9" s="35" customFormat="1" ht="9.9" customHeight="1" x14ac:dyDescent="0.2">
      <c r="A37" s="34">
        <v>14</v>
      </c>
    </row>
    <row r="38" spans="1:9" s="35" customFormat="1" ht="9.9" customHeight="1" x14ac:dyDescent="0.2">
      <c r="A38" s="34">
        <v>15</v>
      </c>
    </row>
    <row r="39" spans="1:9" s="35" customFormat="1" ht="9.9" customHeight="1" x14ac:dyDescent="0.2">
      <c r="A39" s="34">
        <v>16</v>
      </c>
    </row>
    <row r="40" spans="1:9" s="35" customFormat="1" ht="9.9" customHeight="1" x14ac:dyDescent="0.2">
      <c r="A40" s="34">
        <v>17</v>
      </c>
    </row>
    <row r="41" spans="1:9" s="35" customFormat="1" ht="9.9" customHeight="1" x14ac:dyDescent="0.2">
      <c r="A41" s="34">
        <v>18</v>
      </c>
    </row>
    <row r="42" spans="1:9" s="35" customFormat="1" ht="9.9" customHeight="1" x14ac:dyDescent="0.2">
      <c r="A42" s="34">
        <v>19</v>
      </c>
    </row>
    <row r="43" spans="1:9" s="35" customFormat="1" ht="9.9" customHeight="1" x14ac:dyDescent="0.2">
      <c r="A43" s="34">
        <v>20</v>
      </c>
    </row>
    <row r="45" spans="1:9" ht="28.8" x14ac:dyDescent="0.3">
      <c r="A45" s="33" t="s">
        <v>82</v>
      </c>
      <c r="B45" s="32"/>
      <c r="C45" s="32"/>
      <c r="D45" s="32"/>
      <c r="E45" s="21"/>
      <c r="F45" s="2"/>
    </row>
    <row r="47" spans="1:9" x14ac:dyDescent="0.3">
      <c r="A47" s="14" t="s">
        <v>50</v>
      </c>
      <c r="B47" s="14"/>
      <c r="C47" t="s">
        <v>4</v>
      </c>
      <c r="D47" t="s">
        <v>5</v>
      </c>
      <c r="E47" t="s">
        <v>6</v>
      </c>
      <c r="F47" t="s">
        <v>7</v>
      </c>
      <c r="G47" t="s">
        <v>8</v>
      </c>
      <c r="H47" t="s">
        <v>30</v>
      </c>
      <c r="I47" t="s">
        <v>29</v>
      </c>
    </row>
    <row r="48" spans="1:9" ht="27.6" x14ac:dyDescent="0.3">
      <c r="A48" s="8">
        <v>1</v>
      </c>
      <c r="B48" s="20" t="s">
        <v>40</v>
      </c>
      <c r="C48" t="s">
        <v>10</v>
      </c>
      <c r="D48" t="s">
        <v>14</v>
      </c>
      <c r="E48" t="s">
        <v>16</v>
      </c>
      <c r="F48" t="s">
        <v>23</v>
      </c>
      <c r="G48" t="s">
        <v>24</v>
      </c>
      <c r="H48" t="s">
        <v>25</v>
      </c>
      <c r="I48" s="9" t="s">
        <v>52</v>
      </c>
    </row>
    <row r="49" spans="1:9" ht="27.6" x14ac:dyDescent="0.3">
      <c r="A49" s="8">
        <v>2</v>
      </c>
      <c r="B49" s="20" t="s">
        <v>41</v>
      </c>
      <c r="C49" t="s">
        <v>11</v>
      </c>
      <c r="D49" t="s">
        <v>15</v>
      </c>
      <c r="E49" t="s">
        <v>19</v>
      </c>
      <c r="F49" t="s">
        <v>20</v>
      </c>
      <c r="G49" t="s">
        <v>14</v>
      </c>
      <c r="H49" t="s">
        <v>26</v>
      </c>
      <c r="I49" s="9" t="s">
        <v>63</v>
      </c>
    </row>
    <row r="50" spans="1:9" ht="27.6" x14ac:dyDescent="0.3">
      <c r="A50" s="8">
        <v>3</v>
      </c>
      <c r="B50" s="20" t="s">
        <v>42</v>
      </c>
      <c r="C50" t="s">
        <v>12</v>
      </c>
      <c r="D50" t="s">
        <v>13</v>
      </c>
      <c r="E50" t="s">
        <v>17</v>
      </c>
      <c r="F50" t="s">
        <v>21</v>
      </c>
      <c r="G50" t="s">
        <v>15</v>
      </c>
      <c r="H50" t="s">
        <v>27</v>
      </c>
      <c r="I50" s="9" t="s">
        <v>64</v>
      </c>
    </row>
    <row r="51" spans="1:9" ht="27.6" x14ac:dyDescent="0.3">
      <c r="A51" s="8">
        <v>4</v>
      </c>
      <c r="B51" s="20" t="s">
        <v>43</v>
      </c>
      <c r="D51" t="s">
        <v>32</v>
      </c>
      <c r="E51" t="s">
        <v>18</v>
      </c>
      <c r="F51" t="s">
        <v>22</v>
      </c>
      <c r="G51" t="s">
        <v>13</v>
      </c>
      <c r="H51" t="s">
        <v>28</v>
      </c>
      <c r="I51" s="9" t="s">
        <v>65</v>
      </c>
    </row>
    <row r="52" spans="1:9" ht="27.6" x14ac:dyDescent="0.3">
      <c r="A52" s="8">
        <v>5</v>
      </c>
      <c r="B52" s="20" t="s">
        <v>44</v>
      </c>
    </row>
    <row r="53" spans="1:9" ht="27.6" x14ac:dyDescent="0.3">
      <c r="A53" s="8">
        <v>6</v>
      </c>
      <c r="B53" s="20" t="s">
        <v>45</v>
      </c>
    </row>
    <row r="54" spans="1:9" ht="27.6" x14ac:dyDescent="0.3">
      <c r="A54" s="8">
        <v>7</v>
      </c>
      <c r="B54" s="20" t="s">
        <v>46</v>
      </c>
    </row>
    <row r="55" spans="1:9" ht="27.6" x14ac:dyDescent="0.3">
      <c r="A55" s="8">
        <v>8</v>
      </c>
      <c r="B55" s="20" t="s">
        <v>47</v>
      </c>
    </row>
    <row r="56" spans="1:9" ht="27.6" x14ac:dyDescent="0.3">
      <c r="A56" s="8">
        <v>9</v>
      </c>
      <c r="B56" s="20" t="s">
        <v>48</v>
      </c>
    </row>
    <row r="57" spans="1:9" ht="27.6" x14ac:dyDescent="0.3">
      <c r="A57" s="8">
        <v>10</v>
      </c>
      <c r="B57" s="20" t="s">
        <v>49</v>
      </c>
    </row>
  </sheetData>
  <phoneticPr fontId="5" type="noConversion"/>
  <conditionalFormatting sqref="B24:B43">
    <cfRule type="expression" dxfId="12" priority="15">
      <formula>$A24&lt;=$D$10</formula>
    </cfRule>
  </conditionalFormatting>
  <conditionalFormatting sqref="C24:C43">
    <cfRule type="expression" dxfId="11" priority="11">
      <formula>AND($A24&gt;$D$10, $A24&lt;=$D$10+$D$11)</formula>
    </cfRule>
  </conditionalFormatting>
  <conditionalFormatting sqref="D24:D43">
    <cfRule type="expression" dxfId="10" priority="9">
      <formula>AND($A24&gt;($D$10+$D$11), $A24&lt;=($D$10+$D$11+$D$12))</formula>
    </cfRule>
  </conditionalFormatting>
  <conditionalFormatting sqref="E24:E43">
    <cfRule type="expression" dxfId="9" priority="8">
      <formula>AND($A24&gt;($D$10+$D$11+$D$12), $A24&lt;=($D$10+$D$11+$D$12+$D$13))</formula>
    </cfRule>
  </conditionalFormatting>
  <conditionalFormatting sqref="F24:F43">
    <cfRule type="expression" dxfId="8" priority="7">
      <formula>AND($A24&gt;($D$10+$D$11+$D$12+$D$13), $A24&lt;=($D$10+$D$11+$D$12+$D$13+$D$14))</formula>
    </cfRule>
  </conditionalFormatting>
  <conditionalFormatting sqref="G24:G43">
    <cfRule type="expression" dxfId="7" priority="6">
      <formula>AND($A24&gt;SUM($D$10:$D$14), $A24&lt;=SUM($D$10:$D$15))</formula>
    </cfRule>
  </conditionalFormatting>
  <conditionalFormatting sqref="H24:H42">
    <cfRule type="expression" dxfId="3" priority="5">
      <formula>AND($A24&gt;SUM($D$10:$D$15), $A24&lt;=SUM($D$10:$D$16))</formula>
    </cfRule>
  </conditionalFormatting>
  <conditionalFormatting sqref="I24:I42">
    <cfRule type="expression" dxfId="2" priority="4">
      <formula>AND($A24&gt;SUM($D$10:$D$16), $A24&lt;=SUM($D$10:$D$17))</formula>
    </cfRule>
  </conditionalFormatting>
  <conditionalFormatting sqref="J24:J43">
    <cfRule type="expression" dxfId="1" priority="2">
      <formula>AND($A24&gt;SUM($D$10:$D$17), $A24&lt;=SUM($D$10:$D$18))</formula>
    </cfRule>
  </conditionalFormatting>
  <conditionalFormatting sqref="K24:K43">
    <cfRule type="expression" dxfId="0" priority="1">
      <formula>AND($A24&gt;SUM($D$10:$D$18), $A24&lt;=SUM($D$10:$D$19))</formula>
    </cfRule>
  </conditionalFormatting>
  <conditionalFormatting sqref="L10:L19">
    <cfRule type="iconSet" priority="20">
      <iconSet>
        <cfvo type="percent" val="0"/>
        <cfvo type="percent" val="33"/>
        <cfvo type="percent" val="67"/>
      </iconSet>
    </cfRule>
  </conditionalFormatting>
  <dataValidations count="8">
    <dataValidation type="list" allowBlank="1" showInputMessage="1" showErrorMessage="1" sqref="G10:G19" xr:uid="{E26FB84F-828A-40A3-839E-01927BD9A552}">
      <formula1>Tipodecambio</formula1>
    </dataValidation>
    <dataValidation type="list" allowBlank="1" showInputMessage="1" showErrorMessage="1" sqref="I10:I19" xr:uid="{F7DF9A01-379A-4B56-83F3-E0E0387F384C}">
      <formula1>Estatus</formula1>
    </dataValidation>
    <dataValidation type="list" allowBlank="1" showInputMessage="1" showErrorMessage="1" sqref="K10:K19" xr:uid="{581C6779-37DD-44AF-A26B-A3DB0D70EC98}">
      <formula1>Riesgo</formula1>
    </dataValidation>
    <dataValidation type="list" allowBlank="1" showInputMessage="1" showErrorMessage="1" sqref="H10:H19" xr:uid="{C49047FF-FFE3-4072-A98F-8AA0D23B257A}">
      <formula1>Impacto</formula1>
    </dataValidation>
    <dataValidation type="list" allowBlank="1" showInputMessage="1" showErrorMessage="1" sqref="D10:D19" xr:uid="{5EDC0F33-2C93-4627-919F-67EE7554561B}">
      <formula1>"1,2,3,4,5,6,7,8,9,10"</formula1>
    </dataValidation>
    <dataValidation type="list" allowBlank="1" showInputMessage="1" showErrorMessage="1" sqref="A10:A19" xr:uid="{7C577F40-DA9C-4F5B-8EF9-3315B4BD81D8}">
      <formula1>$A$48:$A$57</formula1>
    </dataValidation>
    <dataValidation type="list" allowBlank="1" showInputMessage="1" showErrorMessage="1" sqref="F10:F19" xr:uid="{4958B160-241C-4D7D-A249-A66699F5C7E7}">
      <formula1>$I$48:$I$51</formula1>
    </dataValidation>
    <dataValidation type="list" allowBlank="1" showInputMessage="1" showErrorMessage="1" sqref="J10:J19" xr:uid="{0492E26A-57F9-479D-9F81-F4141BD3EF0C}">
      <formula1>$F$48:$F$51</formula1>
    </dataValidation>
  </dataValidations>
  <pageMargins left="0.25" right="0.25" top="0.75" bottom="0.75" header="0.3" footer="0.3"/>
  <pageSetup paperSize="122" scale="50" orientation="landscape" r:id="rId1"/>
  <tableParts count="4">
    <tablePart r:id="rId2"/>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containsText" priority="37" operator="containsText" id="{4BFD18C3-09A1-40B7-A681-95505EF3CD2F}">
            <xm:f>NOT(ISERROR(SEARCH($D$50,H2)))</xm:f>
            <xm:f>$D$50</xm:f>
            <x14:dxf>
              <fill>
                <patternFill>
                  <bgColor rgb="FF92D050"/>
                </patternFill>
              </fill>
            </x14:dxf>
          </x14:cfRule>
          <x14:cfRule type="containsText" priority="38" operator="containsText" id="{1ED4BFC3-0A79-4AE3-9227-A34C05B9DB56}">
            <xm:f>NOT(ISERROR(SEARCH($D$49,H2)))</xm:f>
            <xm:f>$D$49</xm:f>
            <x14:dxf>
              <fill>
                <patternFill>
                  <bgColor rgb="FFFFFF00"/>
                </patternFill>
              </fill>
            </x14:dxf>
          </x14:cfRule>
          <x14:cfRule type="containsText" priority="39" operator="containsText" id="{0E968F7A-B84B-43BA-8FE8-3562DC974C19}">
            <xm:f>NOT(ISERROR(SEARCH($D$48,H2)))</xm:f>
            <xm:f>$D$48</xm:f>
            <x14:dxf>
              <fill>
                <patternFill>
                  <bgColor rgb="FF700000"/>
                </patternFill>
              </fill>
            </x14:dxf>
          </x14:cfRule>
          <xm:sqref>H2:H7 H10:H22 H45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B5ED1-F141-4DFB-86B0-AFCFBC3A1565}">
  <sheetPr>
    <tabColor theme="7" tint="0.79998168889431442"/>
  </sheetPr>
  <dimension ref="A1:E4"/>
  <sheetViews>
    <sheetView workbookViewId="0">
      <selection activeCell="E13" sqref="E13"/>
    </sheetView>
  </sheetViews>
  <sheetFormatPr baseColWidth="10" defaultRowHeight="14.4" x14ac:dyDescent="0.3"/>
  <cols>
    <col min="5" max="5" width="84.5546875" customWidth="1"/>
  </cols>
  <sheetData>
    <row r="1" spans="1:5" x14ac:dyDescent="0.3">
      <c r="A1" s="3" t="s">
        <v>33</v>
      </c>
      <c r="B1" s="4"/>
    </row>
    <row r="2" spans="1:5" x14ac:dyDescent="0.3">
      <c r="A2" s="40" t="s">
        <v>83</v>
      </c>
      <c r="B2" s="41"/>
      <c r="C2" s="41"/>
      <c r="D2" s="41"/>
      <c r="E2" s="42"/>
    </row>
    <row r="3" spans="1:5" x14ac:dyDescent="0.3">
      <c r="A3" s="43"/>
      <c r="B3" s="44"/>
      <c r="C3" s="44"/>
      <c r="D3" s="44"/>
      <c r="E3" s="45"/>
    </row>
    <row r="4" spans="1:5" ht="90.75" customHeight="1" x14ac:dyDescent="0.3">
      <c r="A4" s="46"/>
      <c r="B4" s="47"/>
      <c r="C4" s="47"/>
      <c r="D4" s="47"/>
      <c r="E4" s="48"/>
    </row>
  </sheetData>
  <mergeCells count="1">
    <mergeCell ref="A2:E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14</vt:i4>
      </vt:variant>
    </vt:vector>
  </HeadingPairs>
  <TitlesOfParts>
    <vt:vector size="18" baseType="lpstr">
      <vt:lpstr>Portada</vt:lpstr>
      <vt:lpstr>Contexto</vt:lpstr>
      <vt:lpstr>Gestión de cambios y GANNT</vt:lpstr>
      <vt:lpstr>Conclusión</vt:lpstr>
      <vt:lpstr>Contexto!Departamento</vt:lpstr>
      <vt:lpstr>Departamento</vt:lpstr>
      <vt:lpstr>Contexto!Estatus</vt:lpstr>
      <vt:lpstr>Estatus</vt:lpstr>
      <vt:lpstr>Contexto!Impacto</vt:lpstr>
      <vt:lpstr>Impacto</vt:lpstr>
      <vt:lpstr>Contexto!Prioridad</vt:lpstr>
      <vt:lpstr>Prioridad</vt:lpstr>
      <vt:lpstr>Contexto!Responsable</vt:lpstr>
      <vt:lpstr>Responsable</vt:lpstr>
      <vt:lpstr>Contexto!Riesgo</vt:lpstr>
      <vt:lpstr>Riesgo</vt:lpstr>
      <vt:lpstr>Contexto!Tipodecambio</vt:lpstr>
      <vt:lpstr>Tipodecambio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Celes 2020</dc:creator>
  <cp:lastModifiedBy>Carolina Mireles</cp:lastModifiedBy>
  <cp:lastPrinted>2025-12-21T07:32:39Z</cp:lastPrinted>
  <dcterms:created xsi:type="dcterms:W3CDTF">2022-04-20T06:19:07Z</dcterms:created>
  <dcterms:modified xsi:type="dcterms:W3CDTF">2026-09-06T04:20:40Z</dcterms:modified>
</cp:coreProperties>
</file>